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hidePivotFieldList="1"/>
  <xr:revisionPtr revIDLastSave="0" documentId="13_ncr:1_{5EE25095-5B3F-4DE9-BE66-6AE663B347BA}" xr6:coauthVersionLast="47" xr6:coauthVersionMax="47" xr10:uidLastSave="{00000000-0000-0000-0000-000000000000}"/>
  <bookViews>
    <workbookView xWindow="-108" yWindow="-108" windowWidth="23256" windowHeight="12456" activeTab="2" xr2:uid="{00000000-000D-0000-FFFF-FFFF00000000}"/>
  </bookViews>
  <sheets>
    <sheet name="Data" sheetId="3" r:id="rId1"/>
    <sheet name="REAL DATA" sheetId="5" r:id="rId2"/>
    <sheet name="SALES DASHBOARD " sheetId="6" r:id="rId3"/>
  </sheets>
  <definedNames>
    <definedName name="_xlcn.WorksheetConnection_deliveries.csvA1N180791">Data!$A$1:$O$18079</definedName>
    <definedName name="Slicer_Month">#N/A</definedName>
    <definedName name="Slicer_Quarter">#N/A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1" roundtripDataChecksum="9w3AmADzuB96Tn8jZpIzzH3pylsTyGHscU8jvS1zn48="/>
    </ext>
  </extLst>
</workbook>
</file>

<file path=xl/calcChain.xml><?xml version="1.0" encoding="utf-8"?>
<calcChain xmlns="http://schemas.openxmlformats.org/spreadsheetml/2006/main">
  <c r="F16" i="5" l="1"/>
  <c r="F13" i="5"/>
  <c r="F6" i="5"/>
  <c r="F9" i="5"/>
  <c r="F15" i="5"/>
  <c r="F12" i="5"/>
  <c r="F5" i="5"/>
  <c r="F4" i="5"/>
</calcChain>
</file>

<file path=xl/sharedStrings.xml><?xml version="1.0" encoding="utf-8"?>
<sst xmlns="http://schemas.openxmlformats.org/spreadsheetml/2006/main" count="170" uniqueCount="37">
  <si>
    <t>Month</t>
  </si>
  <si>
    <t>Region</t>
  </si>
  <si>
    <t>Sales</t>
  </si>
  <si>
    <t>Profit</t>
  </si>
  <si>
    <t>Target Sales</t>
  </si>
  <si>
    <t>Customers</t>
  </si>
  <si>
    <t>Quarter</t>
  </si>
  <si>
    <t>Sales Completion Rate</t>
  </si>
  <si>
    <t>Profit Completion Rate</t>
  </si>
  <si>
    <t>Customer Completion Rate</t>
  </si>
  <si>
    <t>Argentina</t>
  </si>
  <si>
    <t>Quarter 1</t>
  </si>
  <si>
    <t>Brazil</t>
  </si>
  <si>
    <t>Chicaco</t>
  </si>
  <si>
    <t>Chile</t>
  </si>
  <si>
    <t>Columbia</t>
  </si>
  <si>
    <t>Los Angeles</t>
  </si>
  <si>
    <t>Peru</t>
  </si>
  <si>
    <t>Quarter 2</t>
  </si>
  <si>
    <t>Quarter 3</t>
  </si>
  <si>
    <t>Headers</t>
  </si>
  <si>
    <t>Sales Completion</t>
  </si>
  <si>
    <t>Sales Incompletion</t>
  </si>
  <si>
    <t>Profit Completion</t>
  </si>
  <si>
    <t>Profit Incompletion</t>
  </si>
  <si>
    <t>Customer Completion</t>
  </si>
  <si>
    <t>Customer Incompletion</t>
  </si>
  <si>
    <t>Sum of Sales</t>
  </si>
  <si>
    <t>Sum of Profit</t>
  </si>
  <si>
    <t>Sum of Customers</t>
  </si>
  <si>
    <t>Values</t>
  </si>
  <si>
    <t>Average of Sales Completion Rate</t>
  </si>
  <si>
    <t>Average of Profit Completion Rate</t>
  </si>
  <si>
    <t>Average of Customer Completion Rate</t>
  </si>
  <si>
    <t>Row Labels</t>
  </si>
  <si>
    <t>Grand Total</t>
  </si>
  <si>
    <t>Sum of Target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</si>
</sst>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 #,##0_-;\-* #,##0_-;_-* &quot;-&quot;??_-;_-@"/>
    <numFmt numFmtId="165" formatCode="&quot;₹&quot;\ #,##0"/>
  </numFmts>
  <fonts count="5" x14ac:knownFonts="1">
    <font>
      <sz val="12"/>
      <color theme="1"/>
      <name val="Calibri"/>
      <scheme val="minor"/>
    </font>
    <font>
      <sz val="12"/>
      <color theme="1"/>
      <name val="Calibri"/>
    </font>
    <font>
      <sz val="12"/>
      <color theme="1"/>
      <name val="Calibri"/>
    </font>
    <font>
      <sz val="12"/>
      <color theme="2"/>
      <name val="Calibri"/>
      <family val="2"/>
    </font>
    <font>
      <b/>
      <sz val="12"/>
      <color theme="2"/>
      <name val="Calibri"/>
      <family val="2"/>
    </font>
  </fonts>
  <fills count="7">
    <fill>
      <patternFill patternType="none"/>
    </fill>
    <fill>
      <patternFill patternType="gray125"/>
    </fill>
    <fill>
      <patternFill patternType="solid">
        <fgColor rgb="FF7030A0"/>
        <bgColor indexed="64"/>
      </patternFill>
    </fill>
    <fill>
      <patternFill patternType="solid">
        <fgColor theme="4"/>
        <bgColor theme="4"/>
      </patternFill>
    </fill>
    <fill>
      <patternFill patternType="solid">
        <fgColor rgb="FFB8CCE4"/>
        <bgColor rgb="FFB8CCE4"/>
      </patternFill>
    </fill>
    <fill>
      <patternFill patternType="solid">
        <fgColor rgb="FFDBE5F1"/>
        <bgColor rgb="FFDBE5F1"/>
      </patternFill>
    </fill>
    <fill>
      <patternFill patternType="solid">
        <fgColor theme="8" tint="-0.499984740745262"/>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top style="thin">
        <color indexed="65"/>
      </top>
      <bottom style="thin">
        <color rgb="FFABABAB"/>
      </bottom>
      <diagonal/>
    </border>
    <border>
      <left style="thin">
        <color rgb="FFABABAB"/>
      </left>
      <right style="thin">
        <color rgb="FFABABAB"/>
      </right>
      <top style="thin">
        <color rgb="FFABABAB"/>
      </top>
      <bottom/>
      <diagonal/>
    </border>
    <border>
      <left style="thin">
        <color rgb="FFABABAB"/>
      </left>
      <right style="thin">
        <color rgb="FFABABAB"/>
      </right>
      <top style="thin">
        <color rgb="FFABABAB"/>
      </top>
      <bottom style="thin">
        <color rgb="FFABABAB"/>
      </bottom>
      <diagonal/>
    </border>
    <border>
      <left/>
      <right style="thin">
        <color rgb="FFABABAB"/>
      </right>
      <top style="thin">
        <color rgb="FFABABAB"/>
      </top>
      <bottom/>
      <diagonal/>
    </border>
    <border>
      <left style="thin">
        <color rgb="FFABABAB"/>
      </left>
      <right/>
      <top style="thin">
        <color rgb="FFABABAB"/>
      </top>
      <bottom style="thin">
        <color rgb="FFABABAB"/>
      </bottom>
      <diagonal/>
    </border>
    <border>
      <left/>
      <right style="thin">
        <color rgb="FFABABAB"/>
      </right>
      <top style="thin">
        <color rgb="FFABABAB"/>
      </top>
      <bottom style="thin">
        <color rgb="FFABABAB"/>
      </bottom>
      <diagonal/>
    </border>
    <border>
      <left style="thin">
        <color rgb="FFABABAB"/>
      </left>
      <right style="thin">
        <color rgb="FFABABAB"/>
      </right>
      <top style="thin">
        <color indexed="65"/>
      </top>
      <bottom/>
      <diagonal/>
    </border>
    <border>
      <left style="thin">
        <color rgb="FFABABAB"/>
      </left>
      <right style="thin">
        <color rgb="FFABABAB"/>
      </right>
      <top style="thin">
        <color indexed="65"/>
      </top>
      <bottom style="thin">
        <color rgb="FFABABAB"/>
      </bottom>
      <diagonal/>
    </border>
    <border>
      <left/>
      <right style="thin">
        <color rgb="FFABABAB"/>
      </right>
      <top style="thin">
        <color indexed="65"/>
      </top>
      <bottom/>
      <diagonal/>
    </border>
  </borders>
  <cellStyleXfs count="1">
    <xf numFmtId="0" fontId="0" fillId="0" borderId="0"/>
  </cellStyleXfs>
  <cellXfs count="45">
    <xf numFmtId="0" fontId="0" fillId="0" borderId="0" xfId="0"/>
    <xf numFmtId="1" fontId="2" fillId="0" borderId="0" xfId="0" applyNumberFormat="1" applyFont="1"/>
    <xf numFmtId="9" fontId="2" fillId="0" borderId="1" xfId="0" applyNumberFormat="1" applyFont="1" applyBorder="1"/>
    <xf numFmtId="4" fontId="0" fillId="0" borderId="0" xfId="0" applyNumberFormat="1"/>
    <xf numFmtId="4" fontId="3" fillId="2" borderId="1" xfId="0" applyNumberFormat="1" applyFont="1" applyFill="1" applyBorder="1"/>
    <xf numFmtId="4" fontId="4" fillId="2" borderId="1" xfId="0" applyNumberFormat="1" applyFont="1" applyFill="1" applyBorder="1"/>
    <xf numFmtId="4" fontId="2" fillId="0" borderId="1" xfId="0" applyNumberFormat="1" applyFont="1" applyBorder="1"/>
    <xf numFmtId="9" fontId="0" fillId="0" borderId="0" xfId="0" applyNumberFormat="1"/>
    <xf numFmtId="165" fontId="2" fillId="0" borderId="1" xfId="0" applyNumberFormat="1" applyFont="1" applyBorder="1"/>
    <xf numFmtId="3" fontId="2" fillId="0" borderId="1" xfId="0" applyNumberFormat="1" applyFont="1" applyBorder="1"/>
    <xf numFmtId="0" fontId="1" fillId="3" borderId="0" xfId="0" applyFont="1" applyFill="1"/>
    <xf numFmtId="17" fontId="1" fillId="4" borderId="0" xfId="0" applyNumberFormat="1" applyFont="1" applyFill="1"/>
    <xf numFmtId="0" fontId="1" fillId="4" borderId="0" xfId="0" applyFont="1" applyFill="1"/>
    <xf numFmtId="164" fontId="1" fillId="4" borderId="0" xfId="0" applyNumberFormat="1" applyFont="1" applyFill="1"/>
    <xf numFmtId="9" fontId="1" fillId="4" borderId="0" xfId="0" applyNumberFormat="1" applyFont="1" applyFill="1"/>
    <xf numFmtId="17" fontId="1" fillId="5" borderId="0" xfId="0" applyNumberFormat="1" applyFont="1" applyFill="1"/>
    <xf numFmtId="0" fontId="1" fillId="5" borderId="0" xfId="0" applyFont="1" applyFill="1"/>
    <xf numFmtId="164" fontId="1" fillId="5" borderId="0" xfId="0" applyNumberFormat="1" applyFont="1" applyFill="1"/>
    <xf numFmtId="9" fontId="1" fillId="5" borderId="0" xfId="0" applyNumberFormat="1" applyFont="1" applyFill="1"/>
    <xf numFmtId="0" fontId="0" fillId="0" borderId="2" xfId="0" applyBorder="1"/>
    <xf numFmtId="0" fontId="0" fillId="0" borderId="5" xfId="0" applyBorder="1"/>
    <xf numFmtId="0" fontId="0" fillId="0" borderId="7" xfId="0" applyBorder="1"/>
    <xf numFmtId="164" fontId="0" fillId="0" borderId="8" xfId="0" applyNumberFormat="1" applyBorder="1"/>
    <xf numFmtId="0" fontId="0" fillId="0" borderId="2" xfId="0" pivotButton="1" applyBorder="1"/>
    <xf numFmtId="0" fontId="0" fillId="0" borderId="2" xfId="0" applyBorder="1" applyAlignment="1">
      <alignment horizontal="left"/>
    </xf>
    <xf numFmtId="164" fontId="0" fillId="0" borderId="5" xfId="0" applyNumberFormat="1" applyBorder="1"/>
    <xf numFmtId="0" fontId="0" fillId="0" borderId="3" xfId="0" applyBorder="1" applyAlignment="1">
      <alignment horizontal="left"/>
    </xf>
    <xf numFmtId="0" fontId="0" fillId="0" borderId="4" xfId="0" applyBorder="1" applyAlignment="1">
      <alignment horizontal="left"/>
    </xf>
    <xf numFmtId="9" fontId="0" fillId="0" borderId="6" xfId="0" applyNumberFormat="1" applyBorder="1"/>
    <xf numFmtId="17" fontId="0" fillId="0" borderId="2" xfId="0" applyNumberFormat="1" applyBorder="1" applyAlignment="1">
      <alignment horizontal="left"/>
    </xf>
    <xf numFmtId="17" fontId="0" fillId="0" borderId="3" xfId="0" applyNumberFormat="1" applyBorder="1" applyAlignment="1">
      <alignment horizontal="left"/>
    </xf>
    <xf numFmtId="17" fontId="0" fillId="0" borderId="8" xfId="0" applyNumberFormat="1" applyBorder="1" applyAlignment="1">
      <alignment horizontal="left"/>
    </xf>
    <xf numFmtId="164" fontId="0" fillId="0" borderId="2" xfId="0" applyNumberFormat="1" applyBorder="1"/>
    <xf numFmtId="164" fontId="0" fillId="0" borderId="7" xfId="0" applyNumberFormat="1" applyBorder="1"/>
    <xf numFmtId="164" fontId="0" fillId="0" borderId="3" xfId="0" applyNumberFormat="1" applyBorder="1"/>
    <xf numFmtId="164" fontId="0" fillId="0" borderId="12" xfId="0" applyNumberFormat="1" applyBorder="1"/>
    <xf numFmtId="164" fontId="0" fillId="0" borderId="9" xfId="0" applyNumberFormat="1" applyBorder="1"/>
    <xf numFmtId="0" fontId="0" fillId="0" borderId="8" xfId="0" applyBorder="1" applyAlignment="1">
      <alignment horizontal="left"/>
    </xf>
    <xf numFmtId="3" fontId="0" fillId="0" borderId="5" xfId="0" applyNumberFormat="1" applyBorder="1"/>
    <xf numFmtId="3" fontId="0" fillId="0" borderId="10" xfId="0" applyNumberFormat="1" applyBorder="1"/>
    <xf numFmtId="3" fontId="0" fillId="0" borderId="6" xfId="0" applyNumberFormat="1" applyBorder="1"/>
    <xf numFmtId="0" fontId="0" fillId="6" borderId="0" xfId="0" applyFill="1"/>
    <xf numFmtId="0" fontId="0" fillId="0" borderId="10" xfId="0" applyBorder="1"/>
    <xf numFmtId="0" fontId="0" fillId="0" borderId="11" xfId="0" applyBorder="1"/>
    <xf numFmtId="0" fontId="0" fillId="0" borderId="6" xfId="0" applyBorder="1"/>
  </cellXfs>
  <cellStyles count="1">
    <cellStyle name="Normal" xfId="0" builtinId="0"/>
  </cellStyles>
  <dxfs count="16">
    <dxf>
      <numFmt numFmtId="3" formatCode="#,##0"/>
    </dxf>
    <dxf>
      <font>
        <b val="0"/>
        <i val="0"/>
        <strike val="0"/>
        <condense val="0"/>
        <extend val="0"/>
        <outline val="0"/>
        <shadow val="0"/>
        <u val="none"/>
        <vertAlign val="baseline"/>
        <sz val="12"/>
        <color theme="1"/>
        <name val="Calibri"/>
        <scheme val="none"/>
      </font>
      <numFmt numFmtId="13" formatCode="0%"/>
      <fill>
        <patternFill patternType="solid">
          <fgColor rgb="FFB8CCE4"/>
          <bgColor rgb="FFB8CCE4"/>
        </patternFill>
      </fill>
    </dxf>
    <dxf>
      <font>
        <b val="0"/>
        <i val="0"/>
        <strike val="0"/>
        <condense val="0"/>
        <extend val="0"/>
        <outline val="0"/>
        <shadow val="0"/>
        <u val="none"/>
        <vertAlign val="baseline"/>
        <sz val="12"/>
        <color theme="1"/>
        <name val="Calibri"/>
        <scheme val="none"/>
      </font>
      <numFmt numFmtId="13" formatCode="0%"/>
      <fill>
        <patternFill patternType="solid">
          <fgColor rgb="FFB8CCE4"/>
          <bgColor rgb="FFB8CCE4"/>
        </patternFill>
      </fill>
    </dxf>
    <dxf>
      <font>
        <b val="0"/>
        <i val="0"/>
        <strike val="0"/>
        <condense val="0"/>
        <extend val="0"/>
        <outline val="0"/>
        <shadow val="0"/>
        <u val="none"/>
        <vertAlign val="baseline"/>
        <sz val="12"/>
        <color theme="1"/>
        <name val="Calibri"/>
        <scheme val="none"/>
      </font>
      <numFmt numFmtId="13" formatCode="0%"/>
      <fill>
        <patternFill patternType="solid">
          <fgColor rgb="FFB8CCE4"/>
          <bgColor rgb="FFB8CCE4"/>
        </patternFill>
      </fill>
    </dxf>
    <dxf>
      <font>
        <b val="0"/>
        <i val="0"/>
        <strike val="0"/>
        <condense val="0"/>
        <extend val="0"/>
        <outline val="0"/>
        <shadow val="0"/>
        <u val="none"/>
        <vertAlign val="baseline"/>
        <sz val="12"/>
        <color theme="1"/>
        <name val="Calibri"/>
        <scheme val="none"/>
      </font>
      <fill>
        <patternFill patternType="solid">
          <fgColor rgb="FFB8CCE4"/>
          <bgColor rgb="FFB8CCE4"/>
        </patternFill>
      </fill>
    </dxf>
    <dxf>
      <font>
        <b val="0"/>
        <i val="0"/>
        <strike val="0"/>
        <condense val="0"/>
        <extend val="0"/>
        <outline val="0"/>
        <shadow val="0"/>
        <u val="none"/>
        <vertAlign val="baseline"/>
        <sz val="12"/>
        <color theme="1"/>
        <name val="Calibri"/>
        <scheme val="none"/>
      </font>
      <fill>
        <patternFill patternType="solid">
          <fgColor rgb="FFB8CCE4"/>
          <bgColor rgb="FFB8CCE4"/>
        </patternFill>
      </fill>
    </dxf>
    <dxf>
      <font>
        <b val="0"/>
        <i val="0"/>
        <strike val="0"/>
        <condense val="0"/>
        <extend val="0"/>
        <outline val="0"/>
        <shadow val="0"/>
        <u val="none"/>
        <vertAlign val="baseline"/>
        <sz val="12"/>
        <color theme="1"/>
        <name val="Calibri"/>
        <scheme val="none"/>
      </font>
      <numFmt numFmtId="164" formatCode="_-* #,##0_-;\-* #,##0_-;_-* &quot;-&quot;??_-;_-@"/>
      <fill>
        <patternFill patternType="solid">
          <fgColor rgb="FFB8CCE4"/>
          <bgColor rgb="FFB8CCE4"/>
        </patternFill>
      </fill>
    </dxf>
    <dxf>
      <font>
        <b val="0"/>
        <i val="0"/>
        <strike val="0"/>
        <condense val="0"/>
        <extend val="0"/>
        <outline val="0"/>
        <shadow val="0"/>
        <u val="none"/>
        <vertAlign val="baseline"/>
        <sz val="12"/>
        <color theme="1"/>
        <name val="Calibri"/>
        <scheme val="none"/>
      </font>
      <fill>
        <patternFill patternType="solid">
          <fgColor rgb="FFB8CCE4"/>
          <bgColor rgb="FFB8CCE4"/>
        </patternFill>
      </fill>
    </dxf>
    <dxf>
      <font>
        <b val="0"/>
        <i val="0"/>
        <strike val="0"/>
        <condense val="0"/>
        <extend val="0"/>
        <outline val="0"/>
        <shadow val="0"/>
        <u val="none"/>
        <vertAlign val="baseline"/>
        <sz val="12"/>
        <color theme="1"/>
        <name val="Calibri"/>
        <scheme val="none"/>
      </font>
      <numFmt numFmtId="164" formatCode="_-* #,##0_-;\-* #,##0_-;_-* &quot;-&quot;??_-;_-@"/>
      <fill>
        <patternFill patternType="solid">
          <fgColor rgb="FFB8CCE4"/>
          <bgColor rgb="FFB8CCE4"/>
        </patternFill>
      </fill>
    </dxf>
    <dxf>
      <font>
        <b val="0"/>
        <i val="0"/>
        <strike val="0"/>
        <condense val="0"/>
        <extend val="0"/>
        <outline val="0"/>
        <shadow val="0"/>
        <u val="none"/>
        <vertAlign val="baseline"/>
        <sz val="12"/>
        <color theme="1"/>
        <name val="Calibri"/>
        <scheme val="none"/>
      </font>
      <fill>
        <patternFill patternType="solid">
          <fgColor rgb="FFB8CCE4"/>
          <bgColor rgb="FFB8CCE4"/>
        </patternFill>
      </fill>
    </dxf>
    <dxf>
      <font>
        <b val="0"/>
        <i val="0"/>
        <strike val="0"/>
        <condense val="0"/>
        <extend val="0"/>
        <outline val="0"/>
        <shadow val="0"/>
        <u val="none"/>
        <vertAlign val="baseline"/>
        <sz val="12"/>
        <color theme="1"/>
        <name val="Calibri"/>
        <scheme val="none"/>
      </font>
      <numFmt numFmtId="22" formatCode="mmm/yy"/>
      <fill>
        <patternFill patternType="solid">
          <fgColor rgb="FFB8CCE4"/>
          <bgColor rgb="FFB8CCE4"/>
        </patternFill>
      </fill>
    </dxf>
    <dxf>
      <font>
        <b val="0"/>
        <i val="0"/>
        <strike val="0"/>
        <condense val="0"/>
        <extend val="0"/>
        <outline val="0"/>
        <shadow val="0"/>
        <u val="none"/>
        <vertAlign val="baseline"/>
        <sz val="12"/>
        <color theme="1"/>
        <name val="Calibri"/>
        <scheme val="none"/>
      </font>
      <fill>
        <patternFill patternType="solid">
          <fgColor rgb="FFB8CCE4"/>
          <bgColor rgb="FFB8CCE4"/>
        </patternFill>
      </fill>
    </dxf>
    <dxf>
      <font>
        <b val="0"/>
        <i val="0"/>
        <strike val="0"/>
        <condense val="0"/>
        <extend val="0"/>
        <outline val="0"/>
        <shadow val="0"/>
        <u val="none"/>
        <vertAlign val="baseline"/>
        <sz val="12"/>
        <color theme="1"/>
        <name val="Calibri"/>
        <scheme val="none"/>
      </font>
      <fill>
        <patternFill patternType="solid">
          <fgColor theme="4"/>
          <bgColor theme="4"/>
        </patternFill>
      </fill>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s>
  <tableStyles count="1">
    <tableStyle name="Data-style" pivot="0" count="3" xr9:uid="{00000000-0011-0000-FFFF-FFFF00000000}">
      <tableStyleElement type="headerRow" dxfId="15"/>
      <tableStyleElement type="firstRowStripe" dxfId="14"/>
      <tableStyleElement type="secondRowStripe" dxfId="1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customschemas.google.com/relationships/workbookmetadata" Target="metadata"/><Relationship Id="rId5" Type="http://schemas.microsoft.com/office/2007/relationships/slicerCache" Target="slicerCaches/slicerCache1.xml"/><Relationship Id="rId15" Type="http://schemas.openxmlformats.org/officeDocument/2006/relationships/calcChain" Target="calcChain.xml"/><Relationship Id="rId4"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2.9001153815157634E-2"/>
          <c:w val="1"/>
          <c:h val="0.97613794282816413"/>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6CC-4BD4-BFBB-720936758BE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46CC-4BD4-BFBB-720936758BEF}"/>
              </c:ext>
            </c:extLst>
          </c:dPt>
          <c:dLbls>
            <c:dLbl>
              <c:idx val="0"/>
              <c:layout>
                <c:manualLayout>
                  <c:x val="-0.12214646992008231"/>
                  <c:y val="-0.3913158176476208"/>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6017511600543985"/>
                      <c:h val="0.26248901713425338"/>
                    </c:manualLayout>
                  </c15:layout>
                </c:ext>
                <c:ext xmlns:c16="http://schemas.microsoft.com/office/drawing/2014/chart" uri="{C3380CC4-5D6E-409C-BE32-E72D297353CC}">
                  <c16:uniqueId val="{00000001-46CC-4BD4-BFBB-720936758BEF}"/>
                </c:ext>
              </c:extLst>
            </c:dLbl>
            <c:dLbl>
              <c:idx val="1"/>
              <c:delete val="1"/>
              <c:extLst>
                <c:ext xmlns:c15="http://schemas.microsoft.com/office/drawing/2012/chart" uri="{CE6537A1-D6FC-4f65-9D91-7224C49458BB}"/>
                <c:ext xmlns:c16="http://schemas.microsoft.com/office/drawing/2014/chart" uri="{C3380CC4-5D6E-409C-BE32-E72D297353CC}">
                  <c16:uniqueId val="{00000002-46CC-4BD4-BFBB-720936758BE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'REAL DATA'!$E$9:$E$10</c:f>
              <c:strCache>
                <c:ptCount val="2"/>
                <c:pt idx="0">
                  <c:v>Sales Completion</c:v>
                </c:pt>
                <c:pt idx="1">
                  <c:v>Sales Incompletion</c:v>
                </c:pt>
              </c:strCache>
            </c:strRef>
          </c:cat>
          <c:val>
            <c:numRef>
              <c:f>'REAL DATA'!$F$9:$F$10</c:f>
              <c:numCache>
                <c:formatCode>0%</c:formatCode>
                <c:ptCount val="2"/>
                <c:pt idx="0">
                  <c:v>0.85555555555555574</c:v>
                </c:pt>
                <c:pt idx="1">
                  <c:v>0.14000000000000001</c:v>
                </c:pt>
              </c:numCache>
            </c:numRef>
          </c:val>
          <c:extLst>
            <c:ext xmlns:c16="http://schemas.microsoft.com/office/drawing/2014/chart" uri="{C3380CC4-5D6E-409C-BE32-E72D297353CC}">
              <c16:uniqueId val="{00000000-46CC-4BD4-BFBB-720936758BEF}"/>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2.9001153815157634E-2"/>
          <c:w val="1"/>
          <c:h val="0.97613794282816413"/>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62B-499A-8226-DAE6B036A5F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62B-499A-8226-DAE6B036A5F3}"/>
              </c:ext>
            </c:extLst>
          </c:dPt>
          <c:dLbls>
            <c:dLbl>
              <c:idx val="0"/>
              <c:layout>
                <c:manualLayout>
                  <c:x val="-0.12214646992008231"/>
                  <c:y val="-0.3913158176476208"/>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6017511600543985"/>
                      <c:h val="0.26248901713425338"/>
                    </c:manualLayout>
                  </c15:layout>
                </c:ext>
                <c:ext xmlns:c16="http://schemas.microsoft.com/office/drawing/2014/chart" uri="{C3380CC4-5D6E-409C-BE32-E72D297353CC}">
                  <c16:uniqueId val="{00000001-262B-499A-8226-DAE6B036A5F3}"/>
                </c:ext>
              </c:extLst>
            </c:dLbl>
            <c:dLbl>
              <c:idx val="1"/>
              <c:delete val="1"/>
              <c:extLst>
                <c:ext xmlns:c15="http://schemas.microsoft.com/office/drawing/2012/chart" uri="{CE6537A1-D6FC-4f65-9D91-7224C49458BB}"/>
                <c:ext xmlns:c16="http://schemas.microsoft.com/office/drawing/2014/chart" uri="{C3380CC4-5D6E-409C-BE32-E72D297353CC}">
                  <c16:uniqueId val="{00000003-262B-499A-8226-DAE6B036A5F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'REAL DATA'!$E$12:$E$13</c:f>
              <c:strCache>
                <c:ptCount val="2"/>
                <c:pt idx="0">
                  <c:v>Profit Completion</c:v>
                </c:pt>
                <c:pt idx="1">
                  <c:v>Profit Incompletion</c:v>
                </c:pt>
              </c:strCache>
            </c:strRef>
          </c:cat>
          <c:val>
            <c:numRef>
              <c:f>'REAL DATA'!$F$12:$F$13</c:f>
              <c:numCache>
                <c:formatCode>0%</c:formatCode>
                <c:ptCount val="2"/>
                <c:pt idx="0">
                  <c:v>0.85492063492063519</c:v>
                </c:pt>
                <c:pt idx="1">
                  <c:v>0.15</c:v>
                </c:pt>
              </c:numCache>
            </c:numRef>
          </c:val>
          <c:extLst>
            <c:ext xmlns:c16="http://schemas.microsoft.com/office/drawing/2014/chart" uri="{C3380CC4-5D6E-409C-BE32-E72D297353CC}">
              <c16:uniqueId val="{00000004-262B-499A-8226-DAE6B036A5F3}"/>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221890010034281"/>
          <c:y val="7.5782490596906513E-3"/>
          <c:w val="1"/>
          <c:h val="0.97613794282816413"/>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0E5-4EDC-B3FA-B63A43B1FEE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0E5-4EDC-B3FA-B63A43B1FEE5}"/>
              </c:ext>
            </c:extLst>
          </c:dPt>
          <c:dLbls>
            <c:dLbl>
              <c:idx val="0"/>
              <c:layout>
                <c:manualLayout>
                  <c:x val="-0.12214646992008231"/>
                  <c:y val="-0.3913158176476208"/>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6017511600543985"/>
                      <c:h val="0.26248901713425338"/>
                    </c:manualLayout>
                  </c15:layout>
                </c:ext>
                <c:ext xmlns:c16="http://schemas.microsoft.com/office/drawing/2014/chart" uri="{C3380CC4-5D6E-409C-BE32-E72D297353CC}">
                  <c16:uniqueId val="{00000001-40E5-4EDC-B3FA-B63A43B1FEE5}"/>
                </c:ext>
              </c:extLst>
            </c:dLbl>
            <c:dLbl>
              <c:idx val="1"/>
              <c:delete val="1"/>
              <c:extLst>
                <c:ext xmlns:c15="http://schemas.microsoft.com/office/drawing/2012/chart" uri="{CE6537A1-D6FC-4f65-9D91-7224C49458BB}"/>
                <c:ext xmlns:c16="http://schemas.microsoft.com/office/drawing/2014/chart" uri="{C3380CC4-5D6E-409C-BE32-E72D297353CC}">
                  <c16:uniqueId val="{00000003-40E5-4EDC-B3FA-B63A43B1FEE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'REAL DATA'!$E$15:$E$16</c:f>
              <c:strCache>
                <c:ptCount val="2"/>
                <c:pt idx="0">
                  <c:v>Customer Completion</c:v>
                </c:pt>
                <c:pt idx="1">
                  <c:v>Customer Incompletion</c:v>
                </c:pt>
              </c:strCache>
            </c:strRef>
          </c:cat>
          <c:val>
            <c:numRef>
              <c:f>'REAL DATA'!$F$15:$F$16</c:f>
              <c:numCache>
                <c:formatCode>0%</c:formatCode>
                <c:ptCount val="2"/>
                <c:pt idx="0">
                  <c:v>0.8447619047619046</c:v>
                </c:pt>
                <c:pt idx="1">
                  <c:v>0.16</c:v>
                </c:pt>
              </c:numCache>
            </c:numRef>
          </c:val>
          <c:extLst>
            <c:ext xmlns:c16="http://schemas.microsoft.com/office/drawing/2014/chart" uri="{C3380CC4-5D6E-409C-BE32-E72D297353CC}">
              <c16:uniqueId val="{00000004-40E5-4EDC-B3FA-B63A43B1FEE5}"/>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Dashboard.xlsx]REAL DATA!PivotTable5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'REAL DATA'!$J$3</c:f>
              <c:strCache>
                <c:ptCount val="1"/>
                <c:pt idx="0">
                  <c:v>Sum of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'REAL DATA'!$I$4:$I$13</c:f>
              <c:strCache>
                <c:ptCount val="9"/>
                <c:pt idx="0">
                  <c:v>Jan-23</c:v>
                </c:pt>
                <c:pt idx="1">
                  <c:v>Feb-23</c:v>
                </c:pt>
                <c:pt idx="2">
                  <c:v>Mar-23</c:v>
                </c:pt>
                <c:pt idx="3">
                  <c:v>Apr-23</c:v>
                </c:pt>
                <c:pt idx="4">
                  <c:v>May-23</c:v>
                </c:pt>
                <c:pt idx="5">
                  <c:v>Jun-23</c:v>
                </c:pt>
                <c:pt idx="6">
                  <c:v>Jul-23</c:v>
                </c:pt>
                <c:pt idx="7">
                  <c:v>Aug-23</c:v>
                </c:pt>
                <c:pt idx="8">
                  <c:v>Sep-23</c:v>
                </c:pt>
              </c:strCache>
            </c:strRef>
          </c:cat>
          <c:val>
            <c:numRef>
              <c:f>'REAL DATA'!$J$4:$J$13</c:f>
              <c:numCache>
                <c:formatCode>_-* #,##0_-;\-* #,##0_-;_-* "-"??_-;_-@</c:formatCode>
                <c:ptCount val="9"/>
                <c:pt idx="0">
                  <c:v>30000</c:v>
                </c:pt>
                <c:pt idx="1">
                  <c:v>45000</c:v>
                </c:pt>
                <c:pt idx="2">
                  <c:v>60000</c:v>
                </c:pt>
                <c:pt idx="3">
                  <c:v>54999.999999999993</c:v>
                </c:pt>
                <c:pt idx="4">
                  <c:v>80000.000000000015</c:v>
                </c:pt>
                <c:pt idx="5">
                  <c:v>100000.00000000001</c:v>
                </c:pt>
                <c:pt idx="6">
                  <c:v>129940.69999999998</c:v>
                </c:pt>
                <c:pt idx="7">
                  <c:v>130000.00000000003</c:v>
                </c:pt>
                <c:pt idx="8">
                  <c:v>125000</c:v>
                </c:pt>
              </c:numCache>
            </c:numRef>
          </c:val>
          <c:extLst>
            <c:ext xmlns:c16="http://schemas.microsoft.com/office/drawing/2014/chart" uri="{C3380CC4-5D6E-409C-BE32-E72D297353CC}">
              <c16:uniqueId val="{00000000-04C3-4417-B38D-F9FF0322683D}"/>
            </c:ext>
          </c:extLst>
        </c:ser>
        <c:ser>
          <c:idx val="1"/>
          <c:order val="1"/>
          <c:tx>
            <c:strRef>
              <c:f>'REAL DATA'!$K$3</c:f>
              <c:strCache>
                <c:ptCount val="1"/>
                <c:pt idx="0">
                  <c:v>Sum of Target Sales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'REAL DATA'!$I$4:$I$13</c:f>
              <c:strCache>
                <c:ptCount val="9"/>
                <c:pt idx="0">
                  <c:v>Jan-23</c:v>
                </c:pt>
                <c:pt idx="1">
                  <c:v>Feb-23</c:v>
                </c:pt>
                <c:pt idx="2">
                  <c:v>Mar-23</c:v>
                </c:pt>
                <c:pt idx="3">
                  <c:v>Apr-23</c:v>
                </c:pt>
                <c:pt idx="4">
                  <c:v>May-23</c:v>
                </c:pt>
                <c:pt idx="5">
                  <c:v>Jun-23</c:v>
                </c:pt>
                <c:pt idx="6">
                  <c:v>Jul-23</c:v>
                </c:pt>
                <c:pt idx="7">
                  <c:v>Aug-23</c:v>
                </c:pt>
                <c:pt idx="8">
                  <c:v>Sep-23</c:v>
                </c:pt>
              </c:strCache>
            </c:strRef>
          </c:cat>
          <c:val>
            <c:numRef>
              <c:f>'REAL DATA'!$K$4:$K$13</c:f>
              <c:numCache>
                <c:formatCode>_-* #,##0_-;\-* #,##0_-;_-* "-"??_-;_-@</c:formatCode>
                <c:ptCount val="9"/>
                <c:pt idx="0">
                  <c:v>20000.000000000004</c:v>
                </c:pt>
                <c:pt idx="1">
                  <c:v>10000.000000000002</c:v>
                </c:pt>
                <c:pt idx="2">
                  <c:v>10000.000000000002</c:v>
                </c:pt>
                <c:pt idx="3">
                  <c:v>40000.000000000007</c:v>
                </c:pt>
                <c:pt idx="4">
                  <c:v>20000.000000000004</c:v>
                </c:pt>
                <c:pt idx="5">
                  <c:v>5999.9999999999991</c:v>
                </c:pt>
                <c:pt idx="6">
                  <c:v>5000.0000000000009</c:v>
                </c:pt>
                <c:pt idx="7">
                  <c:v>5000.0000000000009</c:v>
                </c:pt>
                <c:pt idx="8">
                  <c:v>2000.0000000000002</c:v>
                </c:pt>
              </c:numCache>
            </c:numRef>
          </c:val>
          <c:extLst>
            <c:ext xmlns:c16="http://schemas.microsoft.com/office/drawing/2014/chart" uri="{C3380CC4-5D6E-409C-BE32-E72D297353CC}">
              <c16:uniqueId val="{00000001-04C3-4417-B38D-F9FF0322683D}"/>
            </c:ext>
          </c:extLst>
        </c:ser>
        <c:dLbls>
          <c:dLblPos val="ctr"/>
          <c:showLegendKey val="0"/>
          <c:showVal val="1"/>
          <c:showCatName val="0"/>
          <c:showSerName val="0"/>
          <c:showPercent val="0"/>
          <c:showBubbleSize val="0"/>
        </c:dLbls>
        <c:gapWidth val="150"/>
        <c:overlap val="100"/>
        <c:axId val="474293311"/>
        <c:axId val="751222607"/>
      </c:barChart>
      <c:catAx>
        <c:axId val="474293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1222607"/>
        <c:crosses val="autoZero"/>
        <c:auto val="1"/>
        <c:lblAlgn val="ctr"/>
        <c:lblOffset val="100"/>
        <c:noMultiLvlLbl val="0"/>
      </c:catAx>
      <c:valAx>
        <c:axId val="751222607"/>
        <c:scaling>
          <c:orientation val="minMax"/>
        </c:scaling>
        <c:delete val="0"/>
        <c:axPos val="l"/>
        <c:numFmt formatCode="_-* #,##0_-;\-* #,##0_-;_-* &quot;-&quot;??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4293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Dashboard.xlsx]REAL DATA!PivotTable6</c:name>
    <c:fmtId val="0"/>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'REAL DATA'!$N$3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'REAL DATA'!$M$4:$M$13</c:f>
              <c:strCache>
                <c:ptCount val="9"/>
                <c:pt idx="0">
                  <c:v>Jan-23</c:v>
                </c:pt>
                <c:pt idx="1">
                  <c:v>Feb-23</c:v>
                </c:pt>
                <c:pt idx="2">
                  <c:v>Mar-23</c:v>
                </c:pt>
                <c:pt idx="3">
                  <c:v>Apr-23</c:v>
                </c:pt>
                <c:pt idx="4">
                  <c:v>May-23</c:v>
                </c:pt>
                <c:pt idx="5">
                  <c:v>Jun-23</c:v>
                </c:pt>
                <c:pt idx="6">
                  <c:v>Jul-23</c:v>
                </c:pt>
                <c:pt idx="7">
                  <c:v>Aug-23</c:v>
                </c:pt>
                <c:pt idx="8">
                  <c:v>Sep-23</c:v>
                </c:pt>
              </c:strCache>
            </c:strRef>
          </c:cat>
          <c:val>
            <c:numRef>
              <c:f>'REAL DATA'!$N$4:$N$13</c:f>
              <c:numCache>
                <c:formatCode>General</c:formatCode>
                <c:ptCount val="9"/>
                <c:pt idx="0">
                  <c:v>300</c:v>
                </c:pt>
                <c:pt idx="1">
                  <c:v>310</c:v>
                </c:pt>
                <c:pt idx="2">
                  <c:v>300</c:v>
                </c:pt>
                <c:pt idx="3">
                  <c:v>700</c:v>
                </c:pt>
                <c:pt idx="4">
                  <c:v>650</c:v>
                </c:pt>
                <c:pt idx="5">
                  <c:v>1600</c:v>
                </c:pt>
                <c:pt idx="6">
                  <c:v>1800</c:v>
                </c:pt>
                <c:pt idx="7">
                  <c:v>1700</c:v>
                </c:pt>
                <c:pt idx="8">
                  <c:v>2000</c:v>
                </c:pt>
              </c:numCache>
            </c:numRef>
          </c:val>
          <c:smooth val="0"/>
          <c:extLst>
            <c:ext xmlns:c16="http://schemas.microsoft.com/office/drawing/2014/chart" uri="{C3380CC4-5D6E-409C-BE32-E72D297353CC}">
              <c16:uniqueId val="{00000000-1F87-408E-871A-04041A891AC3}"/>
            </c:ext>
          </c:extLst>
        </c:ser>
        <c:dLbls>
          <c:dLblPos val="t"/>
          <c:showLegendKey val="0"/>
          <c:showVal val="1"/>
          <c:showCatName val="0"/>
          <c:showSerName val="0"/>
          <c:showPercent val="0"/>
          <c:showBubbleSize val="0"/>
        </c:dLbls>
        <c:marker val="1"/>
        <c:smooth val="0"/>
        <c:axId val="741465983"/>
        <c:axId val="751225007"/>
      </c:lineChart>
      <c:catAx>
        <c:axId val="741465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1225007"/>
        <c:crosses val="autoZero"/>
        <c:auto val="1"/>
        <c:lblAlgn val="ctr"/>
        <c:lblOffset val="100"/>
        <c:noMultiLvlLbl val="0"/>
      </c:catAx>
      <c:valAx>
        <c:axId val="7512250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1465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Dashboard.xlsx]REAL DATA!PivotTable7</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'REAL DATA'!$Q$3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'REAL DATA'!$P$4:$P$11</c:f>
              <c:strCache>
                <c:ptCount val="7"/>
                <c:pt idx="0">
                  <c:v>Argentina</c:v>
                </c:pt>
                <c:pt idx="1">
                  <c:v>Brazil</c:v>
                </c:pt>
                <c:pt idx="2">
                  <c:v>Chicaco</c:v>
                </c:pt>
                <c:pt idx="3">
                  <c:v>Chile</c:v>
                </c:pt>
                <c:pt idx="4">
                  <c:v>Columbia</c:v>
                </c:pt>
                <c:pt idx="5">
                  <c:v>Los Angeles</c:v>
                </c:pt>
                <c:pt idx="6">
                  <c:v>Peru</c:v>
                </c:pt>
              </c:strCache>
            </c:strRef>
          </c:cat>
          <c:val>
            <c:numRef>
              <c:f>'REAL DATA'!$Q$4:$Q$11</c:f>
              <c:numCache>
                <c:formatCode>#,##0</c:formatCode>
                <c:ptCount val="7"/>
                <c:pt idx="0">
                  <c:v>126081</c:v>
                </c:pt>
                <c:pt idx="1">
                  <c:v>129875</c:v>
                </c:pt>
                <c:pt idx="2">
                  <c:v>126793</c:v>
                </c:pt>
                <c:pt idx="3">
                  <c:v>128833</c:v>
                </c:pt>
                <c:pt idx="4">
                  <c:v>125980</c:v>
                </c:pt>
                <c:pt idx="5">
                  <c:v>126209</c:v>
                </c:pt>
                <c:pt idx="6">
                  <c:v>127340</c:v>
                </c:pt>
              </c:numCache>
            </c:numRef>
          </c:val>
          <c:extLst>
            <c:ext xmlns:c16="http://schemas.microsoft.com/office/drawing/2014/chart" uri="{C3380CC4-5D6E-409C-BE32-E72D297353CC}">
              <c16:uniqueId val="{00000000-37EE-41C4-8F54-A29A13818E24}"/>
            </c:ext>
          </c:extLst>
        </c:ser>
        <c:dLbls>
          <c:dLblPos val="outEnd"/>
          <c:showLegendKey val="0"/>
          <c:showVal val="1"/>
          <c:showCatName val="0"/>
          <c:showSerName val="0"/>
          <c:showPercent val="0"/>
          <c:showBubbleSize val="0"/>
        </c:dLbls>
        <c:gapWidth val="182"/>
        <c:axId val="743276735"/>
        <c:axId val="751214927"/>
      </c:barChart>
      <c:catAx>
        <c:axId val="743276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1214927"/>
        <c:crosses val="autoZero"/>
        <c:auto val="1"/>
        <c:lblAlgn val="ctr"/>
        <c:lblOffset val="100"/>
        <c:noMultiLvlLbl val="0"/>
      </c:catAx>
      <c:valAx>
        <c:axId val="751214927"/>
        <c:scaling>
          <c:orientation val="minMax"/>
        </c:scaling>
        <c:delete val="1"/>
        <c:axPos val="b"/>
        <c:numFmt formatCode="#,##0" sourceLinked="1"/>
        <c:majorTickMark val="out"/>
        <c:minorTickMark val="none"/>
        <c:tickLblPos val="nextTo"/>
        <c:crossAx val="743276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2.9001153815157634E-2"/>
          <c:w val="1"/>
          <c:h val="0.97613794282816413"/>
        </c:manualLayout>
      </c:layout>
      <c:doughnutChart>
        <c:varyColors val="1"/>
        <c:ser>
          <c:idx val="0"/>
          <c:order val="0"/>
          <c:spPr>
            <a:solidFill>
              <a:schemeClr val="bg1">
                <a:lumMod val="85000"/>
              </a:schemeClr>
            </a:solidFill>
            <a:ln>
              <a:noFill/>
            </a:ln>
          </c:spPr>
          <c:dPt>
            <c:idx val="0"/>
            <c:bubble3D val="0"/>
            <c:spPr>
              <a:solidFill>
                <a:schemeClr val="accent5">
                  <a:lumMod val="50000"/>
                </a:schemeClr>
              </a:solidFill>
              <a:ln w="19050">
                <a:noFill/>
              </a:ln>
              <a:effectLst/>
            </c:spPr>
            <c:extLst>
              <c:ext xmlns:c16="http://schemas.microsoft.com/office/drawing/2014/chart" uri="{C3380CC4-5D6E-409C-BE32-E72D297353CC}">
                <c16:uniqueId val="{00000001-3AE7-446D-9530-B4109D722847}"/>
              </c:ext>
            </c:extLst>
          </c:dPt>
          <c:dPt>
            <c:idx val="1"/>
            <c:bubble3D val="0"/>
            <c:spPr>
              <a:solidFill>
                <a:schemeClr val="bg1">
                  <a:lumMod val="75000"/>
                </a:schemeClr>
              </a:solidFill>
              <a:ln w="19050">
                <a:noFill/>
              </a:ln>
              <a:effectLst/>
            </c:spPr>
            <c:extLst>
              <c:ext xmlns:c16="http://schemas.microsoft.com/office/drawing/2014/chart" uri="{C3380CC4-5D6E-409C-BE32-E72D297353CC}">
                <c16:uniqueId val="{00000003-3AE7-446D-9530-B4109D722847}"/>
              </c:ext>
            </c:extLst>
          </c:dPt>
          <c:dLbls>
            <c:dLbl>
              <c:idx val="0"/>
              <c:layout>
                <c:manualLayout>
                  <c:x val="-7.3497757661443106E-2"/>
                  <c:y val="-0.37503229458560039"/>
                </c:manualLayout>
              </c:layout>
              <c:showLegendKey val="0"/>
              <c:showVal val="1"/>
              <c:showCatName val="0"/>
              <c:showSerName val="0"/>
              <c:showPercent val="0"/>
              <c:showBubbleSize val="0"/>
              <c:extLst>
                <c:ext xmlns:c15="http://schemas.microsoft.com/office/drawing/2012/chart" uri="{CE6537A1-D6FC-4f65-9D91-7224C49458BB}">
                  <c15:layout>
                    <c:manualLayout>
                      <c:w val="0.26017511600543985"/>
                      <c:h val="0.26248901713425338"/>
                    </c:manualLayout>
                  </c15:layout>
                </c:ext>
                <c:ext xmlns:c16="http://schemas.microsoft.com/office/drawing/2014/chart" uri="{C3380CC4-5D6E-409C-BE32-E72D297353CC}">
                  <c16:uniqueId val="{00000001-3AE7-446D-9530-B4109D722847}"/>
                </c:ext>
              </c:extLst>
            </c:dLbl>
            <c:dLbl>
              <c:idx val="1"/>
              <c:delete val="1"/>
              <c:extLst>
                <c:ext xmlns:c15="http://schemas.microsoft.com/office/drawing/2012/chart" uri="{CE6537A1-D6FC-4f65-9D91-7224C49458BB}"/>
                <c:ext xmlns:c16="http://schemas.microsoft.com/office/drawing/2014/chart" uri="{C3380CC4-5D6E-409C-BE32-E72D297353CC}">
                  <c16:uniqueId val="{00000003-3AE7-446D-9530-B4109D722847}"/>
                </c:ext>
              </c:extLst>
            </c:dLbl>
            <c:spPr>
              <a:noFill/>
              <a:ln>
                <a:noFill/>
              </a:ln>
              <a:effectLst/>
            </c:spPr>
            <c:txPr>
              <a:bodyPr rot="0" spcFirstLastPara="1" vertOverflow="ellipsis" vert="horz" wrap="square" anchor="ctr" anchorCtr="1"/>
              <a:lstStyle/>
              <a:p>
                <a:pPr>
                  <a:defRPr sz="3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'REAL DATA'!$E$9:$E$10</c:f>
              <c:strCache>
                <c:ptCount val="2"/>
                <c:pt idx="0">
                  <c:v>Sales Completion</c:v>
                </c:pt>
                <c:pt idx="1">
                  <c:v>Sales Incompletion</c:v>
                </c:pt>
              </c:strCache>
            </c:strRef>
          </c:cat>
          <c:val>
            <c:numRef>
              <c:f>'REAL DATA'!$F$9:$F$10</c:f>
              <c:numCache>
                <c:formatCode>0%</c:formatCode>
                <c:ptCount val="2"/>
                <c:pt idx="0">
                  <c:v>0.85555555555555574</c:v>
                </c:pt>
                <c:pt idx="1">
                  <c:v>0.14000000000000001</c:v>
                </c:pt>
              </c:numCache>
            </c:numRef>
          </c:val>
          <c:extLst>
            <c:ext xmlns:c16="http://schemas.microsoft.com/office/drawing/2014/chart" uri="{C3380CC4-5D6E-409C-BE32-E72D297353CC}">
              <c16:uniqueId val="{00000004-3AE7-446D-9530-B4109D722847}"/>
            </c:ext>
          </c:extLst>
        </c:ser>
        <c:dLbls>
          <c:showLegendKey val="0"/>
          <c:showVal val="1"/>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600"/>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2.9001153815157634E-2"/>
          <c:w val="1"/>
          <c:h val="0.97613794282816413"/>
        </c:manualLayout>
      </c:layout>
      <c:doughnutChart>
        <c:varyColors val="1"/>
        <c:ser>
          <c:idx val="0"/>
          <c:order val="0"/>
          <c:dPt>
            <c:idx val="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1-5837-436A-AEC9-789EAC798ADE}"/>
              </c:ext>
            </c:extLst>
          </c:dPt>
          <c:dPt>
            <c:idx val="1"/>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3-5837-436A-AEC9-789EAC798ADE}"/>
              </c:ext>
            </c:extLst>
          </c:dPt>
          <c:dLbls>
            <c:dLbl>
              <c:idx val="0"/>
              <c:layout>
                <c:manualLayout>
                  <c:x val="-7.3568496499774011E-2"/>
                  <c:y val="-0.37503229458560039"/>
                </c:manualLayout>
              </c:layout>
              <c:showLegendKey val="0"/>
              <c:showVal val="1"/>
              <c:showCatName val="0"/>
              <c:showSerName val="0"/>
              <c:showPercent val="0"/>
              <c:showBubbleSize val="0"/>
              <c:extLst>
                <c:ext xmlns:c15="http://schemas.microsoft.com/office/drawing/2012/chart" uri="{CE6537A1-D6FC-4f65-9D91-7224C49458BB}">
                  <c15:layout>
                    <c:manualLayout>
                      <c:w val="0.26017511600543985"/>
                      <c:h val="0.26248901713425338"/>
                    </c:manualLayout>
                  </c15:layout>
                </c:ext>
                <c:ext xmlns:c16="http://schemas.microsoft.com/office/drawing/2014/chart" uri="{C3380CC4-5D6E-409C-BE32-E72D297353CC}">
                  <c16:uniqueId val="{00000001-5837-436A-AEC9-789EAC798ADE}"/>
                </c:ext>
              </c:extLst>
            </c:dLbl>
            <c:dLbl>
              <c:idx val="1"/>
              <c:delete val="1"/>
              <c:extLst>
                <c:ext xmlns:c15="http://schemas.microsoft.com/office/drawing/2012/chart" uri="{CE6537A1-D6FC-4f65-9D91-7224C49458BB}"/>
                <c:ext xmlns:c16="http://schemas.microsoft.com/office/drawing/2014/chart" uri="{C3380CC4-5D6E-409C-BE32-E72D297353CC}">
                  <c16:uniqueId val="{00000003-5837-436A-AEC9-789EAC798ADE}"/>
                </c:ext>
              </c:extLst>
            </c:dLbl>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'REAL DATA'!$E$12:$E$13</c:f>
              <c:strCache>
                <c:ptCount val="2"/>
                <c:pt idx="0">
                  <c:v>Profit Completion</c:v>
                </c:pt>
                <c:pt idx="1">
                  <c:v>Profit Incompletion</c:v>
                </c:pt>
              </c:strCache>
            </c:strRef>
          </c:cat>
          <c:val>
            <c:numRef>
              <c:f>'REAL DATA'!$F$12:$F$13</c:f>
              <c:numCache>
                <c:formatCode>0%</c:formatCode>
                <c:ptCount val="2"/>
                <c:pt idx="0">
                  <c:v>0.85492063492063519</c:v>
                </c:pt>
                <c:pt idx="1">
                  <c:v>0.15</c:v>
                </c:pt>
              </c:numCache>
            </c:numRef>
          </c:val>
          <c:extLst>
            <c:ext xmlns:c16="http://schemas.microsoft.com/office/drawing/2014/chart" uri="{C3380CC4-5D6E-409C-BE32-E72D297353CC}">
              <c16:uniqueId val="{00000004-5837-436A-AEC9-789EAC798ADE}"/>
            </c:ext>
          </c:extLst>
        </c:ser>
        <c:dLbls>
          <c:showLegendKey val="0"/>
          <c:showVal val="1"/>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221890010034281"/>
          <c:y val="7.5782490596906513E-3"/>
          <c:w val="1"/>
          <c:h val="0.97613794282816413"/>
        </c:manualLayout>
      </c:layout>
      <c:doughnutChart>
        <c:varyColors val="1"/>
        <c:ser>
          <c:idx val="0"/>
          <c:order val="0"/>
          <c:dPt>
            <c:idx val="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1-481A-4A64-A618-2A319FF6437B}"/>
              </c:ext>
            </c:extLst>
          </c:dPt>
          <c:dPt>
            <c:idx val="1"/>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3-481A-4A64-A618-2A319FF6437B}"/>
              </c:ext>
            </c:extLst>
          </c:dPt>
          <c:dLbls>
            <c:dLbl>
              <c:idx val="0"/>
              <c:layout>
                <c:manualLayout>
                  <c:x val="-8.9537942090710532E-2"/>
                  <c:y val="-0.3913158176476208"/>
                </c:manualLayout>
              </c:layout>
              <c:showLegendKey val="0"/>
              <c:showVal val="1"/>
              <c:showCatName val="0"/>
              <c:showSerName val="0"/>
              <c:showPercent val="0"/>
              <c:showBubbleSize val="0"/>
              <c:extLst>
                <c:ext xmlns:c15="http://schemas.microsoft.com/office/drawing/2012/chart" uri="{CE6537A1-D6FC-4f65-9D91-7224C49458BB}">
                  <c15:layout>
                    <c:manualLayout>
                      <c:w val="0.26017511600543985"/>
                      <c:h val="0.26248901713425338"/>
                    </c:manualLayout>
                  </c15:layout>
                </c:ext>
                <c:ext xmlns:c16="http://schemas.microsoft.com/office/drawing/2014/chart" uri="{C3380CC4-5D6E-409C-BE32-E72D297353CC}">
                  <c16:uniqueId val="{00000001-481A-4A64-A618-2A319FF6437B}"/>
                </c:ext>
              </c:extLst>
            </c:dLbl>
            <c:dLbl>
              <c:idx val="1"/>
              <c:delete val="1"/>
              <c:extLst>
                <c:ext xmlns:c15="http://schemas.microsoft.com/office/drawing/2012/chart" uri="{CE6537A1-D6FC-4f65-9D91-7224C49458BB}"/>
                <c:ext xmlns:c16="http://schemas.microsoft.com/office/drawing/2014/chart" uri="{C3380CC4-5D6E-409C-BE32-E72D297353CC}">
                  <c16:uniqueId val="{00000003-481A-4A64-A618-2A319FF6437B}"/>
                </c:ext>
              </c:extLst>
            </c:dLbl>
            <c:spPr>
              <a:noFill/>
              <a:ln>
                <a:noFill/>
              </a:ln>
              <a:effectLst/>
            </c:spPr>
            <c:txPr>
              <a:bodyPr rot="0" spcFirstLastPara="1" vertOverflow="ellipsis" vert="horz" wrap="square" lIns="38100" tIns="19050" rIns="38100" bIns="19050" anchor="ctr" anchorCtr="0">
                <a:spAutoFit/>
              </a:bodyPr>
              <a:lstStyle/>
              <a:p>
                <a:pPr algn="ctr">
                  <a:defRPr lang="en-US" sz="3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'REAL DATA'!$E$15:$E$16</c:f>
              <c:strCache>
                <c:ptCount val="2"/>
                <c:pt idx="0">
                  <c:v>Customer Completion</c:v>
                </c:pt>
                <c:pt idx="1">
                  <c:v>Customer Incompletion</c:v>
                </c:pt>
              </c:strCache>
            </c:strRef>
          </c:cat>
          <c:val>
            <c:numRef>
              <c:f>'REAL DATA'!$F$15:$F$16</c:f>
              <c:numCache>
                <c:formatCode>0%</c:formatCode>
                <c:ptCount val="2"/>
                <c:pt idx="0">
                  <c:v>0.8447619047619046</c:v>
                </c:pt>
                <c:pt idx="1">
                  <c:v>0.16</c:v>
                </c:pt>
              </c:numCache>
            </c:numRef>
          </c:val>
          <c:extLst>
            <c:ext xmlns:c16="http://schemas.microsoft.com/office/drawing/2014/chart" uri="{C3380CC4-5D6E-409C-BE32-E72D297353CC}">
              <c16:uniqueId val="{00000004-481A-4A64-A618-2A319FF6437B}"/>
            </c:ext>
          </c:extLst>
        </c:ser>
        <c:dLbls>
          <c:showLegendKey val="0"/>
          <c:showVal val="1"/>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Dashboard.xlsx]REAL DATA!PivotTable5</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2.6272556617359514E-3"/>
          <c:w val="1"/>
          <c:h val="0.89283366030653788"/>
        </c:manualLayout>
      </c:layout>
      <c:barChart>
        <c:barDir val="col"/>
        <c:grouping val="stacked"/>
        <c:varyColors val="0"/>
        <c:ser>
          <c:idx val="0"/>
          <c:order val="0"/>
          <c:tx>
            <c:strRef>
              <c:f>'REAL DATA'!$J$3</c:f>
              <c:strCache>
                <c:ptCount val="1"/>
                <c:pt idx="0">
                  <c:v>Sum of Sales</c:v>
                </c:pt>
              </c:strCache>
            </c:strRef>
          </c:tx>
          <c:spPr>
            <a:solidFill>
              <a:schemeClr val="accent5">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'REAL DATA'!$I$4:$I$13</c:f>
              <c:strCache>
                <c:ptCount val="9"/>
                <c:pt idx="0">
                  <c:v>Jan-23</c:v>
                </c:pt>
                <c:pt idx="1">
                  <c:v>Feb-23</c:v>
                </c:pt>
                <c:pt idx="2">
                  <c:v>Mar-23</c:v>
                </c:pt>
                <c:pt idx="3">
                  <c:v>Apr-23</c:v>
                </c:pt>
                <c:pt idx="4">
                  <c:v>May-23</c:v>
                </c:pt>
                <c:pt idx="5">
                  <c:v>Jun-23</c:v>
                </c:pt>
                <c:pt idx="6">
                  <c:v>Jul-23</c:v>
                </c:pt>
                <c:pt idx="7">
                  <c:v>Aug-23</c:v>
                </c:pt>
                <c:pt idx="8">
                  <c:v>Sep-23</c:v>
                </c:pt>
              </c:strCache>
            </c:strRef>
          </c:cat>
          <c:val>
            <c:numRef>
              <c:f>'REAL DATA'!$J$4:$J$13</c:f>
              <c:numCache>
                <c:formatCode>_-* #,##0_-;\-* #,##0_-;_-* "-"??_-;_-@</c:formatCode>
                <c:ptCount val="9"/>
                <c:pt idx="0">
                  <c:v>30000</c:v>
                </c:pt>
                <c:pt idx="1">
                  <c:v>45000</c:v>
                </c:pt>
                <c:pt idx="2">
                  <c:v>60000</c:v>
                </c:pt>
                <c:pt idx="3">
                  <c:v>54999.999999999993</c:v>
                </c:pt>
                <c:pt idx="4">
                  <c:v>80000.000000000015</c:v>
                </c:pt>
                <c:pt idx="5">
                  <c:v>100000.00000000001</c:v>
                </c:pt>
                <c:pt idx="6">
                  <c:v>129940.69999999998</c:v>
                </c:pt>
                <c:pt idx="7">
                  <c:v>130000.00000000003</c:v>
                </c:pt>
                <c:pt idx="8">
                  <c:v>125000</c:v>
                </c:pt>
              </c:numCache>
            </c:numRef>
          </c:val>
          <c:extLst>
            <c:ext xmlns:c16="http://schemas.microsoft.com/office/drawing/2014/chart" uri="{C3380CC4-5D6E-409C-BE32-E72D297353CC}">
              <c16:uniqueId val="{00000000-8237-490D-88AD-BB62DD90331B}"/>
            </c:ext>
          </c:extLst>
        </c:ser>
        <c:ser>
          <c:idx val="1"/>
          <c:order val="1"/>
          <c:tx>
            <c:strRef>
              <c:f>'REAL DATA'!$K$3</c:f>
              <c:strCache>
                <c:ptCount val="1"/>
                <c:pt idx="0">
                  <c:v>Sum of Target Sales</c:v>
                </c:pt>
              </c:strCache>
            </c:strRef>
          </c:tx>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'REAL DATA'!$I$4:$I$13</c:f>
              <c:strCache>
                <c:ptCount val="9"/>
                <c:pt idx="0">
                  <c:v>Jan-23</c:v>
                </c:pt>
                <c:pt idx="1">
                  <c:v>Feb-23</c:v>
                </c:pt>
                <c:pt idx="2">
                  <c:v>Mar-23</c:v>
                </c:pt>
                <c:pt idx="3">
                  <c:v>Apr-23</c:v>
                </c:pt>
                <c:pt idx="4">
                  <c:v>May-23</c:v>
                </c:pt>
                <c:pt idx="5">
                  <c:v>Jun-23</c:v>
                </c:pt>
                <c:pt idx="6">
                  <c:v>Jul-23</c:v>
                </c:pt>
                <c:pt idx="7">
                  <c:v>Aug-23</c:v>
                </c:pt>
                <c:pt idx="8">
                  <c:v>Sep-23</c:v>
                </c:pt>
              </c:strCache>
            </c:strRef>
          </c:cat>
          <c:val>
            <c:numRef>
              <c:f>'REAL DATA'!$K$4:$K$13</c:f>
              <c:numCache>
                <c:formatCode>_-* #,##0_-;\-* #,##0_-;_-* "-"??_-;_-@</c:formatCode>
                <c:ptCount val="9"/>
                <c:pt idx="0">
                  <c:v>20000.000000000004</c:v>
                </c:pt>
                <c:pt idx="1">
                  <c:v>10000.000000000002</c:v>
                </c:pt>
                <c:pt idx="2">
                  <c:v>10000.000000000002</c:v>
                </c:pt>
                <c:pt idx="3">
                  <c:v>40000.000000000007</c:v>
                </c:pt>
                <c:pt idx="4">
                  <c:v>20000.000000000004</c:v>
                </c:pt>
                <c:pt idx="5">
                  <c:v>5999.9999999999991</c:v>
                </c:pt>
                <c:pt idx="6">
                  <c:v>5000.0000000000009</c:v>
                </c:pt>
                <c:pt idx="7">
                  <c:v>5000.0000000000009</c:v>
                </c:pt>
                <c:pt idx="8">
                  <c:v>2000.0000000000002</c:v>
                </c:pt>
              </c:numCache>
            </c:numRef>
          </c:val>
          <c:extLst>
            <c:ext xmlns:c16="http://schemas.microsoft.com/office/drawing/2014/chart" uri="{C3380CC4-5D6E-409C-BE32-E72D297353CC}">
              <c16:uniqueId val="{00000001-8237-490D-88AD-BB62DD90331B}"/>
            </c:ext>
          </c:extLst>
        </c:ser>
        <c:dLbls>
          <c:dLblPos val="ctr"/>
          <c:showLegendKey val="0"/>
          <c:showVal val="1"/>
          <c:showCatName val="0"/>
          <c:showSerName val="0"/>
          <c:showPercent val="0"/>
          <c:showBubbleSize val="0"/>
        </c:dLbls>
        <c:gapWidth val="150"/>
        <c:overlap val="100"/>
        <c:axId val="474293311"/>
        <c:axId val="751222607"/>
      </c:barChart>
      <c:catAx>
        <c:axId val="474293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400" b="1" i="0" u="none" strike="noStrike" kern="1200" baseline="0">
                <a:solidFill>
                  <a:sysClr val="windowText" lastClr="000000"/>
                </a:solidFill>
                <a:latin typeface="+mn-lt"/>
                <a:ea typeface="+mn-ea"/>
                <a:cs typeface="+mn-cs"/>
              </a:defRPr>
            </a:pPr>
            <a:endParaRPr lang="en-US"/>
          </a:p>
        </c:txPr>
        <c:crossAx val="751222607"/>
        <c:crosses val="autoZero"/>
        <c:auto val="1"/>
        <c:lblAlgn val="ctr"/>
        <c:lblOffset val="100"/>
        <c:noMultiLvlLbl val="0"/>
      </c:catAx>
      <c:valAx>
        <c:axId val="751222607"/>
        <c:scaling>
          <c:orientation val="minMax"/>
        </c:scaling>
        <c:delete val="1"/>
        <c:axPos val="l"/>
        <c:numFmt formatCode="_-* #,##0_-;\-* #,##0_-;_-* &quot;-&quot;??_-;_-@" sourceLinked="1"/>
        <c:majorTickMark val="out"/>
        <c:minorTickMark val="none"/>
        <c:tickLblPos val="nextTo"/>
        <c:crossAx val="474293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Dashboard.xlsx]REAL DATA!PivotTable6</c:name>
    <c:fmtId val="3"/>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lumMod val="50000"/>
              </a:schemeClr>
            </a:solidFill>
            <a:round/>
          </a:ln>
          <a:effectLst/>
        </c:spPr>
        <c:marker>
          <c:symbol val="circle"/>
          <c:size val="10"/>
          <c:spPr>
            <a:solidFill>
              <a:schemeClr val="accent5">
                <a:lumMod val="5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5">
                <a:lumMod val="50000"/>
              </a:schemeClr>
            </a:solidFill>
            <a:round/>
          </a:ln>
          <a:effectLst/>
        </c:spPr>
        <c:marker>
          <c:symbol val="circle"/>
          <c:size val="10"/>
          <c:spPr>
            <a:solidFill>
              <a:schemeClr val="accent5">
                <a:lumMod val="50000"/>
              </a:schemeClr>
            </a:solidFill>
            <a:ln w="9525">
              <a:solidFill>
                <a:schemeClr val="accent1"/>
              </a:solidFill>
            </a:ln>
            <a:effectLst/>
          </c:spPr>
        </c:marker>
      </c:pivotFmt>
    </c:pivotFmts>
    <c:plotArea>
      <c:layout>
        <c:manualLayout>
          <c:layoutTarget val="inner"/>
          <c:xMode val="edge"/>
          <c:yMode val="edge"/>
          <c:x val="3.0709693570232156E-2"/>
          <c:y val="1.7072660931642784E-2"/>
          <c:w val="0.96929030642976788"/>
          <c:h val="0.86087865832565336"/>
        </c:manualLayout>
      </c:layout>
      <c:lineChart>
        <c:grouping val="standard"/>
        <c:varyColors val="0"/>
        <c:ser>
          <c:idx val="0"/>
          <c:order val="0"/>
          <c:tx>
            <c:strRef>
              <c:f>'REAL DATA'!$N$3</c:f>
              <c:strCache>
                <c:ptCount val="1"/>
                <c:pt idx="0">
                  <c:v>Total</c:v>
                </c:pt>
              </c:strCache>
            </c:strRef>
          </c:tx>
          <c:spPr>
            <a:ln w="28575" cap="rnd">
              <a:solidFill>
                <a:schemeClr val="accent5">
                  <a:lumMod val="50000"/>
                </a:schemeClr>
              </a:solidFill>
              <a:round/>
            </a:ln>
            <a:effectLst/>
          </c:spPr>
          <c:marker>
            <c:symbol val="circle"/>
            <c:size val="10"/>
            <c:spPr>
              <a:solidFill>
                <a:schemeClr val="accent5">
                  <a:lumMod val="50000"/>
                </a:schemeClr>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'REAL DATA'!$M$4:$M$13</c:f>
              <c:strCache>
                <c:ptCount val="9"/>
                <c:pt idx="0">
                  <c:v>Jan-23</c:v>
                </c:pt>
                <c:pt idx="1">
                  <c:v>Feb-23</c:v>
                </c:pt>
                <c:pt idx="2">
                  <c:v>Mar-23</c:v>
                </c:pt>
                <c:pt idx="3">
                  <c:v>Apr-23</c:v>
                </c:pt>
                <c:pt idx="4">
                  <c:v>May-23</c:v>
                </c:pt>
                <c:pt idx="5">
                  <c:v>Jun-23</c:v>
                </c:pt>
                <c:pt idx="6">
                  <c:v>Jul-23</c:v>
                </c:pt>
                <c:pt idx="7">
                  <c:v>Aug-23</c:v>
                </c:pt>
                <c:pt idx="8">
                  <c:v>Sep-23</c:v>
                </c:pt>
              </c:strCache>
            </c:strRef>
          </c:cat>
          <c:val>
            <c:numRef>
              <c:f>'REAL DATA'!$N$4:$N$13</c:f>
              <c:numCache>
                <c:formatCode>General</c:formatCode>
                <c:ptCount val="9"/>
                <c:pt idx="0">
                  <c:v>300</c:v>
                </c:pt>
                <c:pt idx="1">
                  <c:v>310</c:v>
                </c:pt>
                <c:pt idx="2">
                  <c:v>300</c:v>
                </c:pt>
                <c:pt idx="3">
                  <c:v>700</c:v>
                </c:pt>
                <c:pt idx="4">
                  <c:v>650</c:v>
                </c:pt>
                <c:pt idx="5">
                  <c:v>1600</c:v>
                </c:pt>
                <c:pt idx="6">
                  <c:v>1800</c:v>
                </c:pt>
                <c:pt idx="7">
                  <c:v>1700</c:v>
                </c:pt>
                <c:pt idx="8">
                  <c:v>2000</c:v>
                </c:pt>
              </c:numCache>
            </c:numRef>
          </c:val>
          <c:smooth val="0"/>
          <c:extLst>
            <c:ext xmlns:c16="http://schemas.microsoft.com/office/drawing/2014/chart" uri="{C3380CC4-5D6E-409C-BE32-E72D297353CC}">
              <c16:uniqueId val="{00000000-1B23-4B66-A987-177BE078AD54}"/>
            </c:ext>
          </c:extLst>
        </c:ser>
        <c:dLbls>
          <c:dLblPos val="t"/>
          <c:showLegendKey val="0"/>
          <c:showVal val="1"/>
          <c:showCatName val="0"/>
          <c:showSerName val="0"/>
          <c:showPercent val="0"/>
          <c:showBubbleSize val="0"/>
        </c:dLbls>
        <c:marker val="1"/>
        <c:smooth val="0"/>
        <c:axId val="741465983"/>
        <c:axId val="751225007"/>
      </c:lineChart>
      <c:catAx>
        <c:axId val="741465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endParaRPr lang="en-US"/>
          </a:p>
        </c:txPr>
        <c:crossAx val="751225007"/>
        <c:crosses val="autoZero"/>
        <c:auto val="1"/>
        <c:lblAlgn val="ctr"/>
        <c:lblOffset val="100"/>
        <c:noMultiLvlLbl val="0"/>
      </c:catAx>
      <c:valAx>
        <c:axId val="751225007"/>
        <c:scaling>
          <c:orientation val="minMax"/>
        </c:scaling>
        <c:delete val="1"/>
        <c:axPos val="l"/>
        <c:numFmt formatCode="General" sourceLinked="1"/>
        <c:majorTickMark val="none"/>
        <c:minorTickMark val="none"/>
        <c:tickLblPos val="nextTo"/>
        <c:crossAx val="741465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Dashboard.xlsx]REAL DATA!PivotTable7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'REAL DATA'!$Q$3</c:f>
              <c:strCache>
                <c:ptCount val="1"/>
                <c:pt idx="0">
                  <c:v>Total</c:v>
                </c:pt>
              </c:strCache>
            </c:strRef>
          </c:tx>
          <c:spPr>
            <a:solidFill>
              <a:schemeClr val="accent5">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'REAL DATA'!$P$4:$P$11</c:f>
              <c:strCache>
                <c:ptCount val="7"/>
                <c:pt idx="0">
                  <c:v>Argentina</c:v>
                </c:pt>
                <c:pt idx="1">
                  <c:v>Brazil</c:v>
                </c:pt>
                <c:pt idx="2">
                  <c:v>Chicaco</c:v>
                </c:pt>
                <c:pt idx="3">
                  <c:v>Chile</c:v>
                </c:pt>
                <c:pt idx="4">
                  <c:v>Columbia</c:v>
                </c:pt>
                <c:pt idx="5">
                  <c:v>Los Angeles</c:v>
                </c:pt>
                <c:pt idx="6">
                  <c:v>Peru</c:v>
                </c:pt>
              </c:strCache>
            </c:strRef>
          </c:cat>
          <c:val>
            <c:numRef>
              <c:f>'REAL DATA'!$Q$4:$Q$11</c:f>
              <c:numCache>
                <c:formatCode>#,##0</c:formatCode>
                <c:ptCount val="7"/>
                <c:pt idx="0">
                  <c:v>126081</c:v>
                </c:pt>
                <c:pt idx="1">
                  <c:v>129875</c:v>
                </c:pt>
                <c:pt idx="2">
                  <c:v>126793</c:v>
                </c:pt>
                <c:pt idx="3">
                  <c:v>128833</c:v>
                </c:pt>
                <c:pt idx="4">
                  <c:v>125980</c:v>
                </c:pt>
                <c:pt idx="5">
                  <c:v>126209</c:v>
                </c:pt>
                <c:pt idx="6">
                  <c:v>127340</c:v>
                </c:pt>
              </c:numCache>
            </c:numRef>
          </c:val>
          <c:extLst>
            <c:ext xmlns:c16="http://schemas.microsoft.com/office/drawing/2014/chart" uri="{C3380CC4-5D6E-409C-BE32-E72D297353CC}">
              <c16:uniqueId val="{00000000-FCA8-4CDB-AD0B-4D042CDD3634}"/>
            </c:ext>
          </c:extLst>
        </c:ser>
        <c:dLbls>
          <c:dLblPos val="outEnd"/>
          <c:showLegendKey val="0"/>
          <c:showVal val="1"/>
          <c:showCatName val="0"/>
          <c:showSerName val="0"/>
          <c:showPercent val="0"/>
          <c:showBubbleSize val="0"/>
        </c:dLbls>
        <c:gapWidth val="182"/>
        <c:axId val="743276735"/>
        <c:axId val="751214927"/>
      </c:barChart>
      <c:catAx>
        <c:axId val="743276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400" b="1" i="0" u="none" strike="noStrike" kern="1200" baseline="0">
                <a:solidFill>
                  <a:sysClr val="windowText" lastClr="000000"/>
                </a:solidFill>
                <a:latin typeface="+mn-lt"/>
                <a:ea typeface="+mn-ea"/>
                <a:cs typeface="+mn-cs"/>
              </a:defRPr>
            </a:pPr>
            <a:endParaRPr lang="en-US"/>
          </a:p>
        </c:txPr>
        <c:crossAx val="751214927"/>
        <c:crosses val="autoZero"/>
        <c:auto val="1"/>
        <c:lblAlgn val="ctr"/>
        <c:lblOffset val="100"/>
        <c:noMultiLvlLbl val="0"/>
      </c:catAx>
      <c:valAx>
        <c:axId val="751214927"/>
        <c:scaling>
          <c:orientation val="minMax"/>
        </c:scaling>
        <c:delete val="1"/>
        <c:axPos val="b"/>
        <c:numFmt formatCode="#,##0" sourceLinked="1"/>
        <c:majorTickMark val="out"/>
        <c:minorTickMark val="none"/>
        <c:tickLblPos val="nextTo"/>
        <c:crossAx val="743276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xdr:col>
      <xdr:colOff>277906</xdr:colOff>
      <xdr:row>22</xdr:row>
      <xdr:rowOff>161364</xdr:rowOff>
    </xdr:from>
    <xdr:to>
      <xdr:col>3</xdr:col>
      <xdr:colOff>609599</xdr:colOff>
      <xdr:row>30</xdr:row>
      <xdr:rowOff>143435</xdr:rowOff>
    </xdr:to>
    <xdr:graphicFrame macro="">
      <xdr:nvGraphicFramePr>
        <xdr:cNvPr id="2" name="Chart 1">
          <a:extLst>
            <a:ext uri="{FF2B5EF4-FFF2-40B4-BE49-F238E27FC236}">
              <a16:creationId xmlns:a16="http://schemas.microsoft.com/office/drawing/2014/main" id="{8FAA39CA-5520-020D-B7D9-58F3FB6E5D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1156446</xdr:colOff>
      <xdr:row>22</xdr:row>
      <xdr:rowOff>152401</xdr:rowOff>
    </xdr:from>
    <xdr:to>
      <xdr:col>5</xdr:col>
      <xdr:colOff>1210234</xdr:colOff>
      <xdr:row>30</xdr:row>
      <xdr:rowOff>134472</xdr:rowOff>
    </xdr:to>
    <xdr:graphicFrame macro="">
      <xdr:nvGraphicFramePr>
        <xdr:cNvPr id="3" name="Chart 2">
          <a:extLst>
            <a:ext uri="{FF2B5EF4-FFF2-40B4-BE49-F238E27FC236}">
              <a16:creationId xmlns:a16="http://schemas.microsoft.com/office/drawing/2014/main" id="{1C382AD7-2E2D-47AB-BDE3-AEFEE850FD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143434</xdr:colOff>
      <xdr:row>32</xdr:row>
      <xdr:rowOff>179295</xdr:rowOff>
    </xdr:from>
    <xdr:to>
      <xdr:col>4</xdr:col>
      <xdr:colOff>1434351</xdr:colOff>
      <xdr:row>40</xdr:row>
      <xdr:rowOff>161366</xdr:rowOff>
    </xdr:to>
    <xdr:graphicFrame macro="">
      <xdr:nvGraphicFramePr>
        <xdr:cNvPr id="4" name="Chart 3">
          <a:extLst>
            <a:ext uri="{FF2B5EF4-FFF2-40B4-BE49-F238E27FC236}">
              <a16:creationId xmlns:a16="http://schemas.microsoft.com/office/drawing/2014/main" id="{B4745C3A-366A-4557-A2F6-C4438EC901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519952</xdr:colOff>
      <xdr:row>15</xdr:row>
      <xdr:rowOff>26893</xdr:rowOff>
    </xdr:from>
    <xdr:to>
      <xdr:col>12</xdr:col>
      <xdr:colOff>932331</xdr:colOff>
      <xdr:row>30</xdr:row>
      <xdr:rowOff>0</xdr:rowOff>
    </xdr:to>
    <xdr:graphicFrame macro="">
      <xdr:nvGraphicFramePr>
        <xdr:cNvPr id="5" name="Chart 4">
          <a:extLst>
            <a:ext uri="{FF2B5EF4-FFF2-40B4-BE49-F238E27FC236}">
              <a16:creationId xmlns:a16="http://schemas.microsoft.com/office/drawing/2014/main" id="{A777ED71-1691-BF11-A659-44E514963B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582704</xdr:colOff>
      <xdr:row>15</xdr:row>
      <xdr:rowOff>8965</xdr:rowOff>
    </xdr:from>
    <xdr:to>
      <xdr:col>21</xdr:col>
      <xdr:colOff>349624</xdr:colOff>
      <xdr:row>29</xdr:row>
      <xdr:rowOff>179294</xdr:rowOff>
    </xdr:to>
    <xdr:graphicFrame macro="">
      <xdr:nvGraphicFramePr>
        <xdr:cNvPr id="6" name="Chart 5">
          <a:extLst>
            <a:ext uri="{FF2B5EF4-FFF2-40B4-BE49-F238E27FC236}">
              <a16:creationId xmlns:a16="http://schemas.microsoft.com/office/drawing/2014/main" id="{F3A95975-DFB0-BAAA-D823-48B8F1737A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439270</xdr:colOff>
      <xdr:row>0</xdr:row>
      <xdr:rowOff>170329</xdr:rowOff>
    </xdr:from>
    <xdr:to>
      <xdr:col>26</xdr:col>
      <xdr:colOff>17929</xdr:colOff>
      <xdr:row>14</xdr:row>
      <xdr:rowOff>152400</xdr:rowOff>
    </xdr:to>
    <xdr:graphicFrame macro="">
      <xdr:nvGraphicFramePr>
        <xdr:cNvPr id="7" name="Chart 6">
          <a:extLst>
            <a:ext uri="{FF2B5EF4-FFF2-40B4-BE49-F238E27FC236}">
              <a16:creationId xmlns:a16="http://schemas.microsoft.com/office/drawing/2014/main" id="{04A2A45F-30EC-B618-3A05-B35C36447F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7</xdr:col>
      <xdr:colOff>287320</xdr:colOff>
      <xdr:row>31</xdr:row>
      <xdr:rowOff>63650</xdr:rowOff>
    </xdr:from>
    <xdr:to>
      <xdr:col>9</xdr:col>
      <xdr:colOff>493508</xdr:colOff>
      <xdr:row>44</xdr:row>
      <xdr:rowOff>195319</xdr:rowOff>
    </xdr:to>
    <mc:AlternateContent xmlns:mc="http://schemas.openxmlformats.org/markup-compatibility/2006" xmlns:a14="http://schemas.microsoft.com/office/drawing/2010/main">
      <mc:Choice Requires="a14">
        <xdr:graphicFrame macro="">
          <xdr:nvGraphicFramePr>
            <xdr:cNvPr id="8" name="Month">
              <a:extLst>
                <a:ext uri="{FF2B5EF4-FFF2-40B4-BE49-F238E27FC236}">
                  <a16:creationId xmlns:a16="http://schemas.microsoft.com/office/drawing/2014/main" id="{74E42D42-B1B6-4582-EDA4-E2184D44905D}"/>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9189273" y="6177579"/>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157779</xdr:colOff>
      <xdr:row>31</xdr:row>
      <xdr:rowOff>86510</xdr:rowOff>
    </xdr:from>
    <xdr:to>
      <xdr:col>11</xdr:col>
      <xdr:colOff>659802</xdr:colOff>
      <xdr:row>45</xdr:row>
      <xdr:rowOff>20955</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ABBBA047-2D78-4927-6D96-783C7EF3F10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551920" y="6200439"/>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512333</xdr:colOff>
      <xdr:row>31</xdr:row>
      <xdr:rowOff>10758</xdr:rowOff>
    </xdr:from>
    <xdr:to>
      <xdr:col>14</xdr:col>
      <xdr:colOff>153745</xdr:colOff>
      <xdr:row>44</xdr:row>
      <xdr:rowOff>142427</xdr:rowOff>
    </xdr:to>
    <mc:AlternateContent xmlns:mc="http://schemas.openxmlformats.org/markup-compatibility/2006" xmlns:a14="http://schemas.microsoft.com/office/drawing/2010/main">
      <mc:Choice Requires="a14">
        <xdr:graphicFrame macro="">
          <xdr:nvGraphicFramePr>
            <xdr:cNvPr id="10" name="Quarter">
              <a:extLst>
                <a:ext uri="{FF2B5EF4-FFF2-40B4-BE49-F238E27FC236}">
                  <a16:creationId xmlns:a16="http://schemas.microsoft.com/office/drawing/2014/main" id="{67E70736-2DAD-955D-C713-0BD137714DC4}"/>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13905604" y="6124687"/>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60960</xdr:colOff>
      <xdr:row>1</xdr:row>
      <xdr:rowOff>5441</xdr:rowOff>
    </xdr:from>
    <xdr:to>
      <xdr:col>5</xdr:col>
      <xdr:colOff>411892</xdr:colOff>
      <xdr:row>28</xdr:row>
      <xdr:rowOff>0</xdr:rowOff>
    </xdr:to>
    <xdr:sp macro="" textlink="">
      <xdr:nvSpPr>
        <xdr:cNvPr id="2" name="Rectangle 1">
          <a:extLst>
            <a:ext uri="{FF2B5EF4-FFF2-40B4-BE49-F238E27FC236}">
              <a16:creationId xmlns:a16="http://schemas.microsoft.com/office/drawing/2014/main" id="{DC865A32-F134-7CBB-F678-7CD5CF5EC712}"/>
            </a:ext>
          </a:extLst>
        </xdr:cNvPr>
        <xdr:cNvSpPr/>
      </xdr:nvSpPr>
      <xdr:spPr>
        <a:xfrm>
          <a:off x="60960" y="195941"/>
          <a:ext cx="3737599" cy="5138059"/>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60960</xdr:colOff>
      <xdr:row>31</xdr:row>
      <xdr:rowOff>21773</xdr:rowOff>
    </xdr:from>
    <xdr:to>
      <xdr:col>5</xdr:col>
      <xdr:colOff>350108</xdr:colOff>
      <xdr:row>49</xdr:row>
      <xdr:rowOff>63501</xdr:rowOff>
    </xdr:to>
    <xdr:sp macro="" textlink="">
      <xdr:nvSpPr>
        <xdr:cNvPr id="3" name="Rectangle 2">
          <a:extLst>
            <a:ext uri="{FF2B5EF4-FFF2-40B4-BE49-F238E27FC236}">
              <a16:creationId xmlns:a16="http://schemas.microsoft.com/office/drawing/2014/main" id="{B99337C5-1745-4062-8B6D-0C4906AD8E33}"/>
            </a:ext>
          </a:extLst>
        </xdr:cNvPr>
        <xdr:cNvSpPr/>
      </xdr:nvSpPr>
      <xdr:spPr>
        <a:xfrm>
          <a:off x="60960" y="5927273"/>
          <a:ext cx="3675815" cy="3470728"/>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73939</xdr:colOff>
      <xdr:row>50</xdr:row>
      <xdr:rowOff>63500</xdr:rowOff>
    </xdr:from>
    <xdr:to>
      <xdr:col>5</xdr:col>
      <xdr:colOff>338665</xdr:colOff>
      <xdr:row>71</xdr:row>
      <xdr:rowOff>174172</xdr:rowOff>
    </xdr:to>
    <xdr:sp macro="" textlink="">
      <xdr:nvSpPr>
        <xdr:cNvPr id="4" name="Rectangle 3">
          <a:extLst>
            <a:ext uri="{FF2B5EF4-FFF2-40B4-BE49-F238E27FC236}">
              <a16:creationId xmlns:a16="http://schemas.microsoft.com/office/drawing/2014/main" id="{D84C38FD-EC79-4CAD-A2B5-3DDD78167001}"/>
            </a:ext>
          </a:extLst>
        </xdr:cNvPr>
        <xdr:cNvSpPr/>
      </xdr:nvSpPr>
      <xdr:spPr>
        <a:xfrm>
          <a:off x="73939" y="9588500"/>
          <a:ext cx="3651393" cy="4111172"/>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65315</xdr:colOff>
      <xdr:row>1</xdr:row>
      <xdr:rowOff>5860</xdr:rowOff>
    </xdr:from>
    <xdr:to>
      <xdr:col>58</xdr:col>
      <xdr:colOff>370114</xdr:colOff>
      <xdr:row>72</xdr:row>
      <xdr:rowOff>21771</xdr:rowOff>
    </xdr:to>
    <xdr:sp macro="" textlink="">
      <xdr:nvSpPr>
        <xdr:cNvPr id="5" name="Rectangle 4">
          <a:extLst>
            <a:ext uri="{FF2B5EF4-FFF2-40B4-BE49-F238E27FC236}">
              <a16:creationId xmlns:a16="http://schemas.microsoft.com/office/drawing/2014/main" id="{89703483-2C17-46A6-BB2E-9EEE8D101BA6}"/>
            </a:ext>
          </a:extLst>
        </xdr:cNvPr>
        <xdr:cNvSpPr/>
      </xdr:nvSpPr>
      <xdr:spPr>
        <a:xfrm>
          <a:off x="4114801" y="201803"/>
          <a:ext cx="35400342" cy="13927854"/>
        </a:xfrm>
        <a:prstGeom prst="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275167</xdr:colOff>
      <xdr:row>1</xdr:row>
      <xdr:rowOff>121920</xdr:rowOff>
    </xdr:from>
    <xdr:to>
      <xdr:col>58</xdr:col>
      <xdr:colOff>127000</xdr:colOff>
      <xdr:row>10</xdr:row>
      <xdr:rowOff>174171</xdr:rowOff>
    </xdr:to>
    <xdr:sp macro="" textlink="">
      <xdr:nvSpPr>
        <xdr:cNvPr id="6" name="Rectangle: Rounded Corners 5">
          <a:extLst>
            <a:ext uri="{FF2B5EF4-FFF2-40B4-BE49-F238E27FC236}">
              <a16:creationId xmlns:a16="http://schemas.microsoft.com/office/drawing/2014/main" id="{8D58172B-4D1B-8946-97B9-E030B46DC321}"/>
            </a:ext>
          </a:extLst>
        </xdr:cNvPr>
        <xdr:cNvSpPr/>
      </xdr:nvSpPr>
      <xdr:spPr>
        <a:xfrm>
          <a:off x="4339167" y="312420"/>
          <a:ext cx="35073166" cy="176675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7200" b="1">
              <a:solidFill>
                <a:schemeClr val="accent5">
                  <a:lumMod val="50000"/>
                </a:schemeClr>
              </a:solidFill>
            </a:rPr>
            <a:t>                                                          SALES DASHBOARD 2023</a:t>
          </a:r>
        </a:p>
      </xdr:txBody>
    </xdr:sp>
    <xdr:clientData/>
  </xdr:twoCellAnchor>
  <xdr:twoCellAnchor>
    <xdr:from>
      <xdr:col>6</xdr:col>
      <xdr:colOff>444500</xdr:colOff>
      <xdr:row>11</xdr:row>
      <xdr:rowOff>152399</xdr:rowOff>
    </xdr:from>
    <xdr:to>
      <xdr:col>25</xdr:col>
      <xdr:colOff>127000</xdr:colOff>
      <xdr:row>19</xdr:row>
      <xdr:rowOff>84666</xdr:rowOff>
    </xdr:to>
    <xdr:sp macro="" textlink="">
      <xdr:nvSpPr>
        <xdr:cNvPr id="7" name="Rectangle: Rounded Corners 6">
          <a:extLst>
            <a:ext uri="{FF2B5EF4-FFF2-40B4-BE49-F238E27FC236}">
              <a16:creationId xmlns:a16="http://schemas.microsoft.com/office/drawing/2014/main" id="{D314EEDD-FFDB-4DEB-A8E3-B727E9414529}"/>
            </a:ext>
          </a:extLst>
        </xdr:cNvPr>
        <xdr:cNvSpPr/>
      </xdr:nvSpPr>
      <xdr:spPr>
        <a:xfrm>
          <a:off x="4508500" y="2247899"/>
          <a:ext cx="12551833" cy="1456267"/>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b="1">
              <a:solidFill>
                <a:schemeClr val="accent5">
                  <a:lumMod val="50000"/>
                </a:schemeClr>
              </a:solidFill>
            </a:rPr>
            <a:t>SALES</a:t>
          </a:r>
        </a:p>
      </xdr:txBody>
    </xdr:sp>
    <xdr:clientData/>
  </xdr:twoCellAnchor>
  <xdr:twoCellAnchor>
    <xdr:from>
      <xdr:col>25</xdr:col>
      <xdr:colOff>444500</xdr:colOff>
      <xdr:row>11</xdr:row>
      <xdr:rowOff>152401</xdr:rowOff>
    </xdr:from>
    <xdr:to>
      <xdr:col>41</xdr:col>
      <xdr:colOff>423333</xdr:colOff>
      <xdr:row>19</xdr:row>
      <xdr:rowOff>105833</xdr:rowOff>
    </xdr:to>
    <xdr:sp macro="" textlink="">
      <xdr:nvSpPr>
        <xdr:cNvPr id="8" name="Rectangle: Rounded Corners 7">
          <a:extLst>
            <a:ext uri="{FF2B5EF4-FFF2-40B4-BE49-F238E27FC236}">
              <a16:creationId xmlns:a16="http://schemas.microsoft.com/office/drawing/2014/main" id="{F934E497-578B-4745-89DC-16A479BFDC6A}"/>
            </a:ext>
          </a:extLst>
        </xdr:cNvPr>
        <xdr:cNvSpPr/>
      </xdr:nvSpPr>
      <xdr:spPr>
        <a:xfrm>
          <a:off x="17377833" y="2247901"/>
          <a:ext cx="10816167" cy="1477432"/>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b="1">
              <a:solidFill>
                <a:schemeClr val="accent5">
                  <a:lumMod val="50000"/>
                </a:schemeClr>
              </a:solidFill>
            </a:rPr>
            <a:t>PROFIT</a:t>
          </a:r>
        </a:p>
      </xdr:txBody>
    </xdr:sp>
    <xdr:clientData/>
  </xdr:twoCellAnchor>
  <xdr:twoCellAnchor>
    <xdr:from>
      <xdr:col>42</xdr:col>
      <xdr:colOff>84667</xdr:colOff>
      <xdr:row>11</xdr:row>
      <xdr:rowOff>130629</xdr:rowOff>
    </xdr:from>
    <xdr:to>
      <xdr:col>58</xdr:col>
      <xdr:colOff>42333</xdr:colOff>
      <xdr:row>19</xdr:row>
      <xdr:rowOff>42333</xdr:rowOff>
    </xdr:to>
    <xdr:sp macro="" textlink="">
      <xdr:nvSpPr>
        <xdr:cNvPr id="9" name="Rectangle: Rounded Corners 8">
          <a:extLst>
            <a:ext uri="{FF2B5EF4-FFF2-40B4-BE49-F238E27FC236}">
              <a16:creationId xmlns:a16="http://schemas.microsoft.com/office/drawing/2014/main" id="{F37CBC88-21C9-49C2-B4CE-C7C702C04D1D}"/>
            </a:ext>
          </a:extLst>
        </xdr:cNvPr>
        <xdr:cNvSpPr/>
      </xdr:nvSpPr>
      <xdr:spPr>
        <a:xfrm>
          <a:off x="28532667" y="2226129"/>
          <a:ext cx="10794999" cy="143570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b="1">
              <a:solidFill>
                <a:schemeClr val="accent5">
                  <a:lumMod val="50000"/>
                </a:schemeClr>
              </a:solidFill>
            </a:rPr>
            <a:t>CUSTOMERS</a:t>
          </a:r>
        </a:p>
      </xdr:txBody>
    </xdr:sp>
    <xdr:clientData/>
  </xdr:twoCellAnchor>
  <xdr:twoCellAnchor>
    <xdr:from>
      <xdr:col>6</xdr:col>
      <xdr:colOff>465667</xdr:colOff>
      <xdr:row>20</xdr:row>
      <xdr:rowOff>87085</xdr:rowOff>
    </xdr:from>
    <xdr:to>
      <xdr:col>34</xdr:col>
      <xdr:colOff>42334</xdr:colOff>
      <xdr:row>71</xdr:row>
      <xdr:rowOff>84666</xdr:rowOff>
    </xdr:to>
    <xdr:sp macro="" textlink="">
      <xdr:nvSpPr>
        <xdr:cNvPr id="11" name="Rectangle 10">
          <a:extLst>
            <a:ext uri="{FF2B5EF4-FFF2-40B4-BE49-F238E27FC236}">
              <a16:creationId xmlns:a16="http://schemas.microsoft.com/office/drawing/2014/main" id="{A9C9D4E2-79D3-5507-14F8-6F0838FE2135}"/>
            </a:ext>
          </a:extLst>
        </xdr:cNvPr>
        <xdr:cNvSpPr/>
      </xdr:nvSpPr>
      <xdr:spPr>
        <a:xfrm>
          <a:off x="4529667" y="3897085"/>
          <a:ext cx="18542000" cy="971308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b="1">
              <a:solidFill>
                <a:schemeClr val="accent5">
                  <a:lumMod val="50000"/>
                </a:schemeClr>
              </a:solidFill>
            </a:rPr>
            <a:t>MONTHLY</a:t>
          </a:r>
          <a:r>
            <a:rPr lang="en-IN" sz="2800" b="1" baseline="0">
              <a:solidFill>
                <a:schemeClr val="accent5">
                  <a:lumMod val="50000"/>
                </a:schemeClr>
              </a:solidFill>
            </a:rPr>
            <a:t> WISE SALES AND TARGET SALES</a:t>
          </a:r>
          <a:endParaRPr lang="en-IN" sz="2800" b="1">
            <a:solidFill>
              <a:schemeClr val="accent5">
                <a:lumMod val="50000"/>
              </a:schemeClr>
            </a:solidFill>
          </a:endParaRPr>
        </a:p>
      </xdr:txBody>
    </xdr:sp>
    <xdr:clientData/>
  </xdr:twoCellAnchor>
  <xdr:twoCellAnchor>
    <xdr:from>
      <xdr:col>34</xdr:col>
      <xdr:colOff>296334</xdr:colOff>
      <xdr:row>20</xdr:row>
      <xdr:rowOff>63500</xdr:rowOff>
    </xdr:from>
    <xdr:to>
      <xdr:col>57</xdr:col>
      <xdr:colOff>550333</xdr:colOff>
      <xdr:row>44</xdr:row>
      <xdr:rowOff>148167</xdr:rowOff>
    </xdr:to>
    <xdr:sp macro="" textlink="">
      <xdr:nvSpPr>
        <xdr:cNvPr id="12" name="Rectangle 11">
          <a:extLst>
            <a:ext uri="{FF2B5EF4-FFF2-40B4-BE49-F238E27FC236}">
              <a16:creationId xmlns:a16="http://schemas.microsoft.com/office/drawing/2014/main" id="{921AEB7A-D1C5-416C-9293-A5A353B23514}"/>
            </a:ext>
          </a:extLst>
        </xdr:cNvPr>
        <xdr:cNvSpPr/>
      </xdr:nvSpPr>
      <xdr:spPr>
        <a:xfrm>
          <a:off x="23325667" y="3873500"/>
          <a:ext cx="15832666" cy="4656667"/>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b="1">
              <a:solidFill>
                <a:schemeClr val="accent5">
                  <a:lumMod val="50000"/>
                </a:schemeClr>
              </a:solidFill>
            </a:rPr>
            <a:t>MONTHLY WISE CUSTOMERS</a:t>
          </a:r>
        </a:p>
      </xdr:txBody>
    </xdr:sp>
    <xdr:clientData/>
  </xdr:twoCellAnchor>
  <xdr:twoCellAnchor>
    <xdr:from>
      <xdr:col>34</xdr:col>
      <xdr:colOff>296334</xdr:colOff>
      <xdr:row>45</xdr:row>
      <xdr:rowOff>148167</xdr:rowOff>
    </xdr:from>
    <xdr:to>
      <xdr:col>57</xdr:col>
      <xdr:colOff>613833</xdr:colOff>
      <xdr:row>71</xdr:row>
      <xdr:rowOff>42333</xdr:rowOff>
    </xdr:to>
    <xdr:sp macro="" textlink="">
      <xdr:nvSpPr>
        <xdr:cNvPr id="13" name="Rectangle 12">
          <a:extLst>
            <a:ext uri="{FF2B5EF4-FFF2-40B4-BE49-F238E27FC236}">
              <a16:creationId xmlns:a16="http://schemas.microsoft.com/office/drawing/2014/main" id="{90F56124-F7B7-4CA6-990D-A722F543F1FA}"/>
            </a:ext>
          </a:extLst>
        </xdr:cNvPr>
        <xdr:cNvSpPr/>
      </xdr:nvSpPr>
      <xdr:spPr>
        <a:xfrm>
          <a:off x="23325667" y="8720667"/>
          <a:ext cx="15896166" cy="4847166"/>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b="1">
              <a:solidFill>
                <a:schemeClr val="accent5">
                  <a:lumMod val="50000"/>
                </a:schemeClr>
              </a:solidFill>
            </a:rPr>
            <a:t>REGION WISE PROFIT</a:t>
          </a:r>
        </a:p>
      </xdr:txBody>
    </xdr:sp>
    <xdr:clientData/>
  </xdr:twoCellAnchor>
  <xdr:twoCellAnchor>
    <xdr:from>
      <xdr:col>9</xdr:col>
      <xdr:colOff>393700</xdr:colOff>
      <xdr:row>12</xdr:row>
      <xdr:rowOff>110066</xdr:rowOff>
    </xdr:from>
    <xdr:to>
      <xdr:col>13</xdr:col>
      <xdr:colOff>596900</xdr:colOff>
      <xdr:row>16</xdr:row>
      <xdr:rowOff>25399</xdr:rowOff>
    </xdr:to>
    <xdr:sp macro="" textlink="'REAL DATA'!F4">
      <xdr:nvSpPr>
        <xdr:cNvPr id="14" name="TextBox 13">
          <a:extLst>
            <a:ext uri="{FF2B5EF4-FFF2-40B4-BE49-F238E27FC236}">
              <a16:creationId xmlns:a16="http://schemas.microsoft.com/office/drawing/2014/main" id="{C9201EE7-36B1-3611-2EA4-DA92B3E3D752}"/>
            </a:ext>
          </a:extLst>
        </xdr:cNvPr>
        <xdr:cNvSpPr txBox="1"/>
      </xdr:nvSpPr>
      <xdr:spPr>
        <a:xfrm>
          <a:off x="6489700" y="2396066"/>
          <a:ext cx="2912533" cy="6773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38E9CB1-408D-487F-BE5B-04C189AF91BA}" type="TxLink">
            <a:rPr lang="en-US" sz="4800" b="1" i="0" u="none" strike="noStrike">
              <a:solidFill>
                <a:schemeClr val="accent5">
                  <a:lumMod val="50000"/>
                </a:schemeClr>
              </a:solidFill>
              <a:latin typeface="Calibri"/>
              <a:ea typeface="Calibri"/>
              <a:cs typeface="Calibri"/>
            </a:rPr>
            <a:pPr/>
            <a:t>₹ 7,54,941</a:t>
          </a:fld>
          <a:endParaRPr lang="en-US" sz="4800" b="1">
            <a:solidFill>
              <a:schemeClr val="accent5">
                <a:lumMod val="50000"/>
              </a:schemeClr>
            </a:solidFill>
          </a:endParaRPr>
        </a:p>
      </xdr:txBody>
    </xdr:sp>
    <xdr:clientData/>
  </xdr:twoCellAnchor>
  <xdr:twoCellAnchor>
    <xdr:from>
      <xdr:col>28</xdr:col>
      <xdr:colOff>312942</xdr:colOff>
      <xdr:row>12</xdr:row>
      <xdr:rowOff>127328</xdr:rowOff>
    </xdr:from>
    <xdr:to>
      <xdr:col>32</xdr:col>
      <xdr:colOff>516141</xdr:colOff>
      <xdr:row>16</xdr:row>
      <xdr:rowOff>55361</xdr:rowOff>
    </xdr:to>
    <xdr:sp macro="" textlink="'REAL DATA'!F5">
      <xdr:nvSpPr>
        <xdr:cNvPr id="16" name="TextBox 15">
          <a:extLst>
            <a:ext uri="{FF2B5EF4-FFF2-40B4-BE49-F238E27FC236}">
              <a16:creationId xmlns:a16="http://schemas.microsoft.com/office/drawing/2014/main" id="{53ED16A1-345B-4ECA-9AA2-C650AEF02716}"/>
            </a:ext>
          </a:extLst>
        </xdr:cNvPr>
        <xdr:cNvSpPr txBox="1"/>
      </xdr:nvSpPr>
      <xdr:spPr>
        <a:xfrm>
          <a:off x="19278275" y="2413328"/>
          <a:ext cx="2912533" cy="6900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AA06872-391E-4A68-A234-03038CB95D7C}" type="TxLink">
            <a:rPr lang="en-US" sz="4800" b="1" i="0" u="none" strike="noStrike">
              <a:solidFill>
                <a:schemeClr val="accent5">
                  <a:lumMod val="50000"/>
                </a:schemeClr>
              </a:solidFill>
              <a:latin typeface="Calibri"/>
              <a:ea typeface="Calibri"/>
              <a:cs typeface="Calibri"/>
            </a:rPr>
            <a:pPr marL="0" indent="0"/>
            <a:t>₹ 8,91,111</a:t>
          </a:fld>
          <a:endParaRPr lang="en-US" sz="4800" b="1" i="0" u="none" strike="noStrike">
            <a:solidFill>
              <a:schemeClr val="accent5">
                <a:lumMod val="50000"/>
              </a:schemeClr>
            </a:solidFill>
            <a:latin typeface="Calibri"/>
            <a:ea typeface="Calibri"/>
            <a:cs typeface="Calibri"/>
          </a:endParaRPr>
        </a:p>
      </xdr:txBody>
    </xdr:sp>
    <xdr:clientData/>
  </xdr:twoCellAnchor>
  <xdr:twoCellAnchor>
    <xdr:from>
      <xdr:col>46</xdr:col>
      <xdr:colOff>64710</xdr:colOff>
      <xdr:row>12</xdr:row>
      <xdr:rowOff>84667</xdr:rowOff>
    </xdr:from>
    <xdr:to>
      <xdr:col>48</xdr:col>
      <xdr:colOff>444500</xdr:colOff>
      <xdr:row>16</xdr:row>
      <xdr:rowOff>0</xdr:rowOff>
    </xdr:to>
    <xdr:sp macro="" textlink="'REAL DATA'!F6">
      <xdr:nvSpPr>
        <xdr:cNvPr id="17" name="TextBox 16">
          <a:extLst>
            <a:ext uri="{FF2B5EF4-FFF2-40B4-BE49-F238E27FC236}">
              <a16:creationId xmlns:a16="http://schemas.microsoft.com/office/drawing/2014/main" id="{2B7F3718-F814-481C-A628-916334699B19}"/>
            </a:ext>
          </a:extLst>
        </xdr:cNvPr>
        <xdr:cNvSpPr txBox="1"/>
      </xdr:nvSpPr>
      <xdr:spPr>
        <a:xfrm>
          <a:off x="31222043" y="2370667"/>
          <a:ext cx="1734457" cy="6773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AF0334B-88BE-4C89-BA1E-598976D3E7B2}" type="TxLink">
            <a:rPr lang="en-US" sz="4800" b="1" i="0" u="none" strike="noStrike">
              <a:solidFill>
                <a:schemeClr val="accent5">
                  <a:lumMod val="50000"/>
                </a:schemeClr>
              </a:solidFill>
              <a:latin typeface="Calibri"/>
              <a:ea typeface="Calibri"/>
              <a:cs typeface="Calibri"/>
            </a:rPr>
            <a:pPr marL="0" indent="0"/>
            <a:t>9,360</a:t>
          </a:fld>
          <a:endParaRPr lang="en-US" sz="4800" b="1" i="0" u="none" strike="noStrike">
            <a:solidFill>
              <a:schemeClr val="accent5">
                <a:lumMod val="50000"/>
              </a:schemeClr>
            </a:solidFill>
            <a:latin typeface="Calibri"/>
            <a:ea typeface="Calibri"/>
            <a:cs typeface="Calibri"/>
          </a:endParaRPr>
        </a:p>
      </xdr:txBody>
    </xdr:sp>
    <xdr:clientData/>
  </xdr:twoCellAnchor>
  <xdr:twoCellAnchor>
    <xdr:from>
      <xdr:col>20</xdr:col>
      <xdr:colOff>110065</xdr:colOff>
      <xdr:row>11</xdr:row>
      <xdr:rowOff>131835</xdr:rowOff>
    </xdr:from>
    <xdr:to>
      <xdr:col>24</xdr:col>
      <xdr:colOff>533399</xdr:colOff>
      <xdr:row>19</xdr:row>
      <xdr:rowOff>66094</xdr:rowOff>
    </xdr:to>
    <xdr:graphicFrame macro="">
      <xdr:nvGraphicFramePr>
        <xdr:cNvPr id="19" name="Chart 18">
          <a:extLst>
            <a:ext uri="{FF2B5EF4-FFF2-40B4-BE49-F238E27FC236}">
              <a16:creationId xmlns:a16="http://schemas.microsoft.com/office/drawing/2014/main" id="{E6D04E9D-DDA3-450D-8F38-F1E51349E6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36</xdr:col>
      <xdr:colOff>325641</xdr:colOff>
      <xdr:row>11</xdr:row>
      <xdr:rowOff>178126</xdr:rowOff>
    </xdr:from>
    <xdr:to>
      <xdr:col>41</xdr:col>
      <xdr:colOff>76200</xdr:colOff>
      <xdr:row>19</xdr:row>
      <xdr:rowOff>112385</xdr:rowOff>
    </xdr:to>
    <xdr:graphicFrame macro="">
      <xdr:nvGraphicFramePr>
        <xdr:cNvPr id="20" name="Chart 19">
          <a:extLst>
            <a:ext uri="{FF2B5EF4-FFF2-40B4-BE49-F238E27FC236}">
              <a16:creationId xmlns:a16="http://schemas.microsoft.com/office/drawing/2014/main" id="{4F348B5D-1F2D-4D18-B8CA-CFC92FD07C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52</xdr:col>
      <xdr:colOff>59266</xdr:colOff>
      <xdr:row>11</xdr:row>
      <xdr:rowOff>152401</xdr:rowOff>
    </xdr:from>
    <xdr:to>
      <xdr:col>56</xdr:col>
      <xdr:colOff>465667</xdr:colOff>
      <xdr:row>19</xdr:row>
      <xdr:rowOff>86660</xdr:rowOff>
    </xdr:to>
    <xdr:graphicFrame macro="">
      <xdr:nvGraphicFramePr>
        <xdr:cNvPr id="21" name="Chart 20">
          <a:extLst>
            <a:ext uri="{FF2B5EF4-FFF2-40B4-BE49-F238E27FC236}">
              <a16:creationId xmlns:a16="http://schemas.microsoft.com/office/drawing/2014/main" id="{59077997-B6F9-45E9-AFC1-12B95BA907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592667</xdr:colOff>
      <xdr:row>23</xdr:row>
      <xdr:rowOff>135467</xdr:rowOff>
    </xdr:from>
    <xdr:to>
      <xdr:col>34</xdr:col>
      <xdr:colOff>42333</xdr:colOff>
      <xdr:row>69</xdr:row>
      <xdr:rowOff>33866</xdr:rowOff>
    </xdr:to>
    <xdr:graphicFrame macro="">
      <xdr:nvGraphicFramePr>
        <xdr:cNvPr id="22" name="Chart 21">
          <a:extLst>
            <a:ext uri="{FF2B5EF4-FFF2-40B4-BE49-F238E27FC236}">
              <a16:creationId xmlns:a16="http://schemas.microsoft.com/office/drawing/2014/main" id="{A3EBD0BA-DFEE-4192-A767-CBC6CD0B37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35</xdr:col>
      <xdr:colOff>0</xdr:colOff>
      <xdr:row>22</xdr:row>
      <xdr:rowOff>101600</xdr:rowOff>
    </xdr:from>
    <xdr:to>
      <xdr:col>57</xdr:col>
      <xdr:colOff>550333</xdr:colOff>
      <xdr:row>43</xdr:row>
      <xdr:rowOff>152400</xdr:rowOff>
    </xdr:to>
    <xdr:graphicFrame macro="">
      <xdr:nvGraphicFramePr>
        <xdr:cNvPr id="23" name="Chart 22">
          <a:extLst>
            <a:ext uri="{FF2B5EF4-FFF2-40B4-BE49-F238E27FC236}">
              <a16:creationId xmlns:a16="http://schemas.microsoft.com/office/drawing/2014/main" id="{9ACCCD50-8936-480A-8C34-0B66896B5D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34</xdr:col>
      <xdr:colOff>613834</xdr:colOff>
      <xdr:row>48</xdr:row>
      <xdr:rowOff>169333</xdr:rowOff>
    </xdr:from>
    <xdr:to>
      <xdr:col>57</xdr:col>
      <xdr:colOff>613832</xdr:colOff>
      <xdr:row>69</xdr:row>
      <xdr:rowOff>67732</xdr:rowOff>
    </xdr:to>
    <xdr:graphicFrame macro="">
      <xdr:nvGraphicFramePr>
        <xdr:cNvPr id="25" name="Chart 24">
          <a:extLst>
            <a:ext uri="{FF2B5EF4-FFF2-40B4-BE49-F238E27FC236}">
              <a16:creationId xmlns:a16="http://schemas.microsoft.com/office/drawing/2014/main" id="{19530189-91BA-417B-A7E6-1920638909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105834</xdr:colOff>
      <xdr:row>1</xdr:row>
      <xdr:rowOff>5440</xdr:rowOff>
    </xdr:from>
    <xdr:to>
      <xdr:col>5</xdr:col>
      <xdr:colOff>394713</xdr:colOff>
      <xdr:row>28</xdr:row>
      <xdr:rowOff>-1</xdr:rowOff>
    </xdr:to>
    <mc:AlternateContent xmlns:mc="http://schemas.openxmlformats.org/markup-compatibility/2006" xmlns:a14="http://schemas.microsoft.com/office/drawing/2010/main">
      <mc:Choice Requires="a14">
        <xdr:graphicFrame macro="">
          <xdr:nvGraphicFramePr>
            <xdr:cNvPr id="26" name="Month 1">
              <a:extLst>
                <a:ext uri="{FF2B5EF4-FFF2-40B4-BE49-F238E27FC236}">
                  <a16:creationId xmlns:a16="http://schemas.microsoft.com/office/drawing/2014/main" id="{C0AA350A-76E5-4655-BD53-8B8DF58B27DB}"/>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05834" y="195940"/>
              <a:ext cx="3675546" cy="51380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63501</xdr:colOff>
      <xdr:row>29</xdr:row>
      <xdr:rowOff>21165</xdr:rowOff>
    </xdr:from>
    <xdr:to>
      <xdr:col>5</xdr:col>
      <xdr:colOff>359834</xdr:colOff>
      <xdr:row>48</xdr:row>
      <xdr:rowOff>114251</xdr:rowOff>
    </xdr:to>
    <mc:AlternateContent xmlns:mc="http://schemas.openxmlformats.org/markup-compatibility/2006" xmlns:a14="http://schemas.microsoft.com/office/drawing/2010/main">
      <mc:Choice Requires="a14">
        <xdr:graphicFrame macro="">
          <xdr:nvGraphicFramePr>
            <xdr:cNvPr id="27" name="Region 1">
              <a:extLst>
                <a:ext uri="{FF2B5EF4-FFF2-40B4-BE49-F238E27FC236}">
                  <a16:creationId xmlns:a16="http://schemas.microsoft.com/office/drawing/2014/main" id="{186B0015-98DD-4CE4-8A1F-B13320E76061}"/>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63501" y="5545665"/>
              <a:ext cx="3683000" cy="37125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65216</xdr:colOff>
      <xdr:row>50</xdr:row>
      <xdr:rowOff>42333</xdr:rowOff>
    </xdr:from>
    <xdr:to>
      <xdr:col>5</xdr:col>
      <xdr:colOff>359833</xdr:colOff>
      <xdr:row>71</xdr:row>
      <xdr:rowOff>169332</xdr:rowOff>
    </xdr:to>
    <mc:AlternateContent xmlns:mc="http://schemas.openxmlformats.org/markup-compatibility/2006" xmlns:a14="http://schemas.microsoft.com/office/drawing/2010/main">
      <mc:Choice Requires="a14">
        <xdr:graphicFrame macro="">
          <xdr:nvGraphicFramePr>
            <xdr:cNvPr id="28" name="Quarter 1">
              <a:extLst>
                <a:ext uri="{FF2B5EF4-FFF2-40B4-BE49-F238E27FC236}">
                  <a16:creationId xmlns:a16="http://schemas.microsoft.com/office/drawing/2014/main" id="{62BBFEEA-1221-4DC4-A9D3-F8E2CE694CFF}"/>
                </a:ext>
              </a:extLst>
            </xdr:cNvPr>
            <xdr:cNvGraphicFramePr/>
          </xdr:nvGraphicFramePr>
          <xdr:xfrm>
            <a:off x="0" y="0"/>
            <a:ext cx="0" cy="0"/>
          </xdr:xfrm>
          <a:graphic>
            <a:graphicData uri="http://schemas.microsoft.com/office/drawing/2010/slicer">
              <sle:slicer xmlns:sle="http://schemas.microsoft.com/office/drawing/2010/slicer" name="Quarter 1"/>
            </a:graphicData>
          </a:graphic>
        </xdr:graphicFrame>
      </mc:Choice>
      <mc:Fallback xmlns="">
        <xdr:sp macro="" textlink="">
          <xdr:nvSpPr>
            <xdr:cNvPr id="0" name=""/>
            <xdr:cNvSpPr>
              <a:spLocks noTextEdit="1"/>
            </xdr:cNvSpPr>
          </xdr:nvSpPr>
          <xdr:spPr>
            <a:xfrm>
              <a:off x="65216" y="9567333"/>
              <a:ext cx="3681284" cy="4127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58.480049189813" createdVersion="8" refreshedVersion="8" minRefreshableVersion="3" recordCount="63" xr:uid="{2BB10E0C-7EC3-43EC-A186-783405F09C5B}">
  <cacheSource type="worksheet">
    <worksheetSource name="Table1"/>
  </cacheSource>
  <cacheFields count="12">
    <cacheField name="Month" numFmtId="17">
      <sharedItems containsSemiMixedTypes="0" containsNonDate="0" containsDate="1" containsString="0" minDate="2023-01-01T00:00:00" maxDate="2023-09-02T00:00:00" count="9">
        <d v="2023-01-01T00:00:00"/>
        <d v="2023-02-01T00:00:00"/>
        <d v="2023-03-01T00:00:00"/>
        <d v="2023-04-01T00:00:00"/>
        <d v="2023-05-01T00:00:00"/>
        <d v="2023-06-01T00:00:00"/>
        <d v="2023-07-01T00:00:00"/>
        <d v="2023-08-01T00:00:00"/>
        <d v="2023-09-01T00:00:00"/>
      </sharedItems>
      <fieldGroup par="11"/>
    </cacheField>
    <cacheField name="Region" numFmtId="0">
      <sharedItems count="7">
        <s v="Argentina"/>
        <s v="Brazil"/>
        <s v="Chicaco"/>
        <s v="Chile"/>
        <s v="Columbia"/>
        <s v="Los Angeles"/>
        <s v="Peru"/>
      </sharedItems>
    </cacheField>
    <cacheField name="Sales" numFmtId="164">
      <sharedItems containsSemiMixedTypes="0" containsString="0" containsNumber="1" minValue="1500" maxValue="18571.428571428572"/>
    </cacheField>
    <cacheField name="Profit" numFmtId="0">
      <sharedItems containsSemiMixedTypes="0" containsString="0" containsNumber="1" containsInteger="1" minValue="2000" maxValue="25000"/>
    </cacheField>
    <cacheField name="Target Sales" numFmtId="164">
      <sharedItems containsSemiMixedTypes="0" containsString="0" containsNumber="1" minValue="285.71428571428572" maxValue="5714.2857142857147"/>
    </cacheField>
    <cacheField name="Customers" numFmtId="0">
      <sharedItems containsSemiMixedTypes="0" containsString="0" containsNumber="1" containsInteger="1" minValue="15" maxValue="310"/>
    </cacheField>
    <cacheField name="Quarter" numFmtId="0">
      <sharedItems count="3">
        <s v="Quarter 1"/>
        <s v="Quarter 2"/>
        <s v="Quarter 3"/>
      </sharedItems>
    </cacheField>
    <cacheField name="Sales Completion Rate" numFmtId="9">
      <sharedItems containsSemiMixedTypes="0" containsString="0" containsNumber="1" minValue="0.7" maxValue="0.99"/>
    </cacheField>
    <cacheField name="Profit Completion Rate" numFmtId="9">
      <sharedItems containsSemiMixedTypes="0" containsString="0" containsNumber="1" minValue="0.7" maxValue="0.99"/>
    </cacheField>
    <cacheField name="Customer Completion Rate" numFmtId="9">
      <sharedItems containsSemiMixedTypes="0" containsString="0" containsNumber="1" minValue="0.7" maxValue="0.99"/>
    </cacheField>
    <cacheField name="Days (Month)" numFmtId="0" databaseField="0">
      <fieldGroup base="0">
        <rangePr groupBy="days" startDate="2023-01-01T00:00:00" endDate="2023-09-02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09-2023"/>
        </groupItems>
      </fieldGroup>
    </cacheField>
    <cacheField name="Months (Month)" numFmtId="0" databaseField="0">
      <fieldGroup base="0">
        <rangePr groupBy="months" startDate="2023-01-01T00:00:00" endDate="2023-09-02T00:00:00"/>
        <groupItems count="14">
          <s v="&lt;01-01-2023"/>
          <s v="Jan"/>
          <s v="Feb"/>
          <s v="Mar"/>
          <s v="Apr"/>
          <s v="May"/>
          <s v="Jun"/>
          <s v="Jul"/>
          <s v="Aug"/>
          <s v="Sep"/>
          <s v="Oct"/>
          <s v="Nov"/>
          <s v="Dec"/>
          <s v="&gt;02-09-2023"/>
        </groupItems>
      </fieldGroup>
    </cacheField>
  </cacheFields>
  <extLst>
    <ext xmlns:x14="http://schemas.microsoft.com/office/spreadsheetml/2009/9/main" uri="{725AE2AE-9491-48be-B2B4-4EB974FC3084}">
      <x14:pivotCacheDefinition pivotCacheId="1724784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
  <r>
    <x v="0"/>
    <x v="0"/>
    <n v="5000"/>
    <n v="2581"/>
    <n v="2857.1428571428573"/>
    <n v="80"/>
    <x v="0"/>
    <n v="0.89"/>
    <n v="0.85"/>
    <n v="0.72"/>
  </r>
  <r>
    <x v="0"/>
    <x v="1"/>
    <n v="3500"/>
    <n v="3944"/>
    <n v="2857.1428571428573"/>
    <n v="30"/>
    <x v="0"/>
    <n v="0.94"/>
    <n v="0.95"/>
    <n v="0.86"/>
  </r>
  <r>
    <x v="0"/>
    <x v="2"/>
    <n v="1500"/>
    <n v="3293"/>
    <n v="2857.1428571428573"/>
    <n v="15"/>
    <x v="0"/>
    <n v="0.82"/>
    <n v="0.8"/>
    <n v="0.76"/>
  </r>
  <r>
    <x v="0"/>
    <x v="3"/>
    <n v="1500"/>
    <n v="2019"/>
    <n v="2857.1428571428573"/>
    <n v="40"/>
    <x v="0"/>
    <n v="0.79"/>
    <n v="0.79"/>
    <n v="0.79"/>
  </r>
  <r>
    <x v="0"/>
    <x v="4"/>
    <n v="6000"/>
    <n v="2980"/>
    <n v="2857.1428571428573"/>
    <n v="100"/>
    <x v="0"/>
    <n v="0.96"/>
    <n v="0.79"/>
    <n v="0.7"/>
  </r>
  <r>
    <x v="0"/>
    <x v="5"/>
    <n v="2500"/>
    <n v="2209"/>
    <n v="2857.1428571428573"/>
    <n v="15"/>
    <x v="0"/>
    <n v="0.79"/>
    <n v="0.79"/>
    <n v="0.77"/>
  </r>
  <r>
    <x v="0"/>
    <x v="6"/>
    <n v="10000"/>
    <n v="2440"/>
    <n v="2857.1428571428573"/>
    <n v="20"/>
    <x v="0"/>
    <n v="0.75"/>
    <n v="0.72"/>
    <n v="0.93"/>
  </r>
  <r>
    <x v="1"/>
    <x v="0"/>
    <n v="5000"/>
    <n v="2000"/>
    <n v="1428.5714285714287"/>
    <n v="90"/>
    <x v="0"/>
    <n v="0.92"/>
    <n v="0.99"/>
    <n v="0.74"/>
  </r>
  <r>
    <x v="1"/>
    <x v="1"/>
    <n v="15000"/>
    <n v="14431"/>
    <n v="1428.5714285714287"/>
    <n v="30"/>
    <x v="0"/>
    <n v="0.7"/>
    <n v="0.99"/>
    <n v="0.95"/>
  </r>
  <r>
    <x v="1"/>
    <x v="2"/>
    <n v="1500"/>
    <n v="3000"/>
    <n v="1428.5714285714287"/>
    <n v="15"/>
    <x v="0"/>
    <n v="0.91"/>
    <n v="0.98"/>
    <n v="0.89"/>
  </r>
  <r>
    <x v="1"/>
    <x v="3"/>
    <n v="3500"/>
    <n v="4000"/>
    <n v="1428.5714285714287"/>
    <n v="40"/>
    <x v="0"/>
    <n v="0.74"/>
    <n v="0.85"/>
    <n v="0.7"/>
  </r>
  <r>
    <x v="1"/>
    <x v="4"/>
    <n v="6000"/>
    <n v="2000"/>
    <n v="1428.5714285714287"/>
    <n v="100"/>
    <x v="0"/>
    <n v="0.9"/>
    <n v="0.9"/>
    <n v="0.72"/>
  </r>
  <r>
    <x v="1"/>
    <x v="5"/>
    <n v="4000"/>
    <n v="2000"/>
    <n v="1428.5714285714287"/>
    <n v="15"/>
    <x v="0"/>
    <n v="0.95"/>
    <n v="0.97"/>
    <n v="0.81"/>
  </r>
  <r>
    <x v="1"/>
    <x v="6"/>
    <n v="10000"/>
    <n v="2000"/>
    <n v="1428.5714285714287"/>
    <n v="20"/>
    <x v="0"/>
    <n v="0.99"/>
    <n v="0.79"/>
    <n v="0.75"/>
  </r>
  <r>
    <x v="2"/>
    <x v="0"/>
    <n v="8571.4285714285706"/>
    <n v="4000"/>
    <n v="1428.5714285714287"/>
    <n v="45"/>
    <x v="0"/>
    <n v="0.86"/>
    <n v="0.97"/>
    <n v="0.89"/>
  </r>
  <r>
    <x v="2"/>
    <x v="1"/>
    <n v="8571.4285714285706"/>
    <n v="6000"/>
    <n v="1428.5714285714287"/>
    <n v="43"/>
    <x v="0"/>
    <n v="0.83"/>
    <n v="0.72"/>
    <n v="0.74"/>
  </r>
  <r>
    <x v="2"/>
    <x v="2"/>
    <n v="8571.4285714285706"/>
    <n v="6500"/>
    <n v="1428.5714285714287"/>
    <n v="43"/>
    <x v="0"/>
    <n v="0.74"/>
    <n v="0.78"/>
    <n v="0.94"/>
  </r>
  <r>
    <x v="2"/>
    <x v="3"/>
    <n v="8571.4285714285706"/>
    <n v="12000"/>
    <n v="1428.5714285714287"/>
    <n v="43"/>
    <x v="0"/>
    <n v="0.8"/>
    <n v="0.84"/>
    <n v="0.81"/>
  </r>
  <r>
    <x v="2"/>
    <x v="4"/>
    <n v="8571.4285714285706"/>
    <n v="3000"/>
    <n v="1428.5714285714287"/>
    <n v="43"/>
    <x v="0"/>
    <n v="0.89"/>
    <n v="0.99"/>
    <n v="0.97"/>
  </r>
  <r>
    <x v="2"/>
    <x v="5"/>
    <n v="8571.4285714285706"/>
    <n v="2000"/>
    <n v="1428.5714285714287"/>
    <n v="40"/>
    <x v="0"/>
    <n v="0.71"/>
    <n v="0.87"/>
    <n v="0.94"/>
  </r>
  <r>
    <x v="2"/>
    <x v="6"/>
    <n v="8571.4285714285706"/>
    <n v="2000"/>
    <n v="1428.5714285714287"/>
    <n v="43"/>
    <x v="0"/>
    <n v="0.9"/>
    <n v="0.72"/>
    <n v="0.94"/>
  </r>
  <r>
    <x v="3"/>
    <x v="0"/>
    <n v="7857.1428571428569"/>
    <n v="3000"/>
    <n v="5714.2857142857147"/>
    <n v="100"/>
    <x v="1"/>
    <n v="0.89"/>
    <n v="0.85"/>
    <n v="0.87"/>
  </r>
  <r>
    <x v="3"/>
    <x v="1"/>
    <n v="7857.1428571428569"/>
    <n v="4500"/>
    <n v="5714.2857142857147"/>
    <n v="100"/>
    <x v="1"/>
    <n v="0.89"/>
    <n v="0.8"/>
    <n v="0.88"/>
  </r>
  <r>
    <x v="3"/>
    <x v="2"/>
    <n v="7857.1428571428569"/>
    <n v="5500"/>
    <n v="5714.2857142857147"/>
    <n v="100"/>
    <x v="1"/>
    <n v="0.98"/>
    <n v="0.99"/>
    <n v="0.81"/>
  </r>
  <r>
    <x v="3"/>
    <x v="3"/>
    <n v="7857.1428571428569"/>
    <n v="10000"/>
    <n v="5714.2857142857147"/>
    <n v="100"/>
    <x v="1"/>
    <n v="0.81"/>
    <n v="0.91"/>
    <n v="0.95"/>
  </r>
  <r>
    <x v="3"/>
    <x v="4"/>
    <n v="7857.1428571428569"/>
    <n v="2000"/>
    <n v="5714.2857142857147"/>
    <n v="100"/>
    <x v="1"/>
    <n v="0.97"/>
    <n v="0.85"/>
    <n v="0.85"/>
  </r>
  <r>
    <x v="3"/>
    <x v="5"/>
    <n v="7857.1428571428569"/>
    <n v="2000"/>
    <n v="5714.2857142857147"/>
    <n v="100"/>
    <x v="1"/>
    <n v="0.89"/>
    <n v="0.94"/>
    <n v="0.8"/>
  </r>
  <r>
    <x v="3"/>
    <x v="6"/>
    <n v="7857.1428571428569"/>
    <n v="2000"/>
    <n v="5714.2857142857147"/>
    <n v="100"/>
    <x v="1"/>
    <n v="0.88"/>
    <n v="0.94"/>
    <n v="0.7"/>
  </r>
  <r>
    <x v="4"/>
    <x v="0"/>
    <n v="11428.571428571429"/>
    <n v="20000"/>
    <n v="2857.1428571428573"/>
    <n v="90"/>
    <x v="1"/>
    <n v="0.75"/>
    <n v="0.77"/>
    <n v="0.84"/>
  </r>
  <r>
    <x v="4"/>
    <x v="1"/>
    <n v="11428.571428571429"/>
    <n v="17000"/>
    <n v="2857.1428571428573"/>
    <n v="80"/>
    <x v="1"/>
    <n v="0.73"/>
    <n v="0.96"/>
    <n v="0.93"/>
  </r>
  <r>
    <x v="4"/>
    <x v="2"/>
    <n v="11428.571428571429"/>
    <n v="16000"/>
    <n v="2857.1428571428573"/>
    <n v="90"/>
    <x v="1"/>
    <n v="0.93"/>
    <n v="0.74"/>
    <n v="0.93"/>
  </r>
  <r>
    <x v="4"/>
    <x v="3"/>
    <n v="11428.571428571429"/>
    <n v="12000"/>
    <n v="2857.1428571428573"/>
    <n v="110"/>
    <x v="1"/>
    <n v="0.85"/>
    <n v="0.7"/>
    <n v="0.99"/>
  </r>
  <r>
    <x v="4"/>
    <x v="4"/>
    <n v="11428.571428571429"/>
    <n v="20500"/>
    <n v="2857.1428571428573"/>
    <n v="90"/>
    <x v="1"/>
    <n v="0.92"/>
    <n v="0.99"/>
    <n v="0.88"/>
  </r>
  <r>
    <x v="4"/>
    <x v="5"/>
    <n v="11428.571428571429"/>
    <n v="21000"/>
    <n v="2857.1428571428573"/>
    <n v="100"/>
    <x v="1"/>
    <n v="0.75"/>
    <n v="0.97"/>
    <n v="0.83"/>
  </r>
  <r>
    <x v="4"/>
    <x v="6"/>
    <n v="11428.571428571429"/>
    <n v="21500"/>
    <n v="2857.1428571428573"/>
    <n v="90"/>
    <x v="1"/>
    <n v="0.77"/>
    <n v="0.97"/>
    <n v="0.78"/>
  </r>
  <r>
    <x v="5"/>
    <x v="0"/>
    <n v="14285.714285714286"/>
    <n v="22000"/>
    <n v="857.14285714285711"/>
    <n v="228"/>
    <x v="1"/>
    <n v="0.79"/>
    <n v="0.75"/>
    <n v="0.93"/>
  </r>
  <r>
    <x v="5"/>
    <x v="1"/>
    <n v="14285.714285714286"/>
    <n v="18000"/>
    <n v="857.14285714285711"/>
    <n v="220"/>
    <x v="1"/>
    <n v="0.81"/>
    <n v="0.98"/>
    <n v="0.86"/>
  </r>
  <r>
    <x v="5"/>
    <x v="2"/>
    <n v="14285.714285714286"/>
    <n v="18500"/>
    <n v="857.14285714285711"/>
    <n v="228"/>
    <x v="1"/>
    <n v="0.86"/>
    <n v="0.82"/>
    <n v="0.86"/>
  </r>
  <r>
    <x v="5"/>
    <x v="3"/>
    <n v="14285.714285714286"/>
    <n v="14314"/>
    <n v="857.14285714285711"/>
    <n v="238"/>
    <x v="1"/>
    <n v="0.72"/>
    <n v="0.95"/>
    <n v="0.9"/>
  </r>
  <r>
    <x v="5"/>
    <x v="4"/>
    <n v="14285.714285714286"/>
    <n v="21000"/>
    <n v="857.14285714285711"/>
    <n v="228"/>
    <x v="1"/>
    <n v="0.71"/>
    <n v="0.8"/>
    <n v="0.76"/>
  </r>
  <r>
    <x v="5"/>
    <x v="5"/>
    <n v="14285.714285714286"/>
    <n v="22500"/>
    <n v="857.14285714285711"/>
    <n v="230"/>
    <x v="1"/>
    <n v="0.97"/>
    <n v="0.95"/>
    <n v="0.85"/>
  </r>
  <r>
    <x v="5"/>
    <x v="6"/>
    <n v="14285.714285714286"/>
    <n v="22900"/>
    <n v="857.14285714285711"/>
    <n v="228"/>
    <x v="1"/>
    <n v="0.95"/>
    <n v="0.85"/>
    <n v="0.91"/>
  </r>
  <r>
    <x v="6"/>
    <x v="0"/>
    <n v="18562.957142857143"/>
    <n v="25000"/>
    <n v="714.28571428571433"/>
    <n v="250"/>
    <x v="2"/>
    <n v="0.97"/>
    <n v="0.7"/>
    <n v="0.93"/>
  </r>
  <r>
    <x v="6"/>
    <x v="1"/>
    <n v="18562.957142857143"/>
    <n v="22000"/>
    <n v="714.28571428571433"/>
    <n v="240"/>
    <x v="2"/>
    <n v="0.9"/>
    <n v="0.98"/>
    <n v="0.96"/>
  </r>
  <r>
    <x v="6"/>
    <x v="2"/>
    <n v="18562.957142857143"/>
    <n v="25000"/>
    <n v="714.28571428571433"/>
    <n v="270"/>
    <x v="2"/>
    <n v="0.9"/>
    <n v="0.95"/>
    <n v="0.98"/>
  </r>
  <r>
    <x v="6"/>
    <x v="3"/>
    <n v="18562.957142857143"/>
    <n v="25000"/>
    <n v="714.28571428571433"/>
    <n v="259"/>
    <x v="2"/>
    <n v="0.96"/>
    <n v="0.81"/>
    <n v="0.85"/>
  </r>
  <r>
    <x v="6"/>
    <x v="4"/>
    <n v="18562.957142857143"/>
    <n v="25000"/>
    <n v="714.28571428571433"/>
    <n v="260"/>
    <x v="2"/>
    <n v="0.98"/>
    <n v="0.84"/>
    <n v="0.89"/>
  </r>
  <r>
    <x v="6"/>
    <x v="5"/>
    <n v="18562.957142857143"/>
    <n v="25000"/>
    <n v="714.28571428571433"/>
    <n v="260"/>
    <x v="2"/>
    <n v="0.76"/>
    <n v="0.7"/>
    <n v="0.86"/>
  </r>
  <r>
    <x v="6"/>
    <x v="6"/>
    <n v="18562.957142857143"/>
    <n v="25000"/>
    <n v="714.28571428571433"/>
    <n v="261"/>
    <x v="2"/>
    <n v="0.91"/>
    <n v="0.77"/>
    <n v="0.75"/>
  </r>
  <r>
    <x v="7"/>
    <x v="0"/>
    <n v="18571.428571428572"/>
    <n v="25000"/>
    <n v="714.28571428571433"/>
    <n v="242"/>
    <x v="2"/>
    <n v="0.79"/>
    <n v="0.81"/>
    <n v="0.74"/>
  </r>
  <r>
    <x v="7"/>
    <x v="1"/>
    <n v="18571.428571428572"/>
    <n v="22500"/>
    <n v="714.28571428571433"/>
    <n v="250"/>
    <x v="2"/>
    <n v="0.85"/>
    <n v="0.82"/>
    <n v="0.73"/>
  </r>
  <r>
    <x v="7"/>
    <x v="2"/>
    <n v="18571.428571428572"/>
    <n v="25000"/>
    <n v="714.28571428571433"/>
    <n v="242"/>
    <x v="2"/>
    <n v="0.88"/>
    <n v="0.84"/>
    <n v="0.75"/>
  </r>
  <r>
    <x v="7"/>
    <x v="3"/>
    <n v="18571.428571428572"/>
    <n v="25000"/>
    <n v="714.28571428571433"/>
    <n v="242"/>
    <x v="2"/>
    <n v="0.81"/>
    <n v="0.92"/>
    <n v="0.91"/>
  </r>
  <r>
    <x v="7"/>
    <x v="4"/>
    <n v="18571.428571428572"/>
    <n v="25000"/>
    <n v="714.28571428571433"/>
    <n v="242"/>
    <x v="2"/>
    <n v="0.84"/>
    <n v="0.73"/>
    <n v="0.99"/>
  </r>
  <r>
    <x v="7"/>
    <x v="5"/>
    <n v="18571.428571428572"/>
    <n v="25000"/>
    <n v="714.28571428571433"/>
    <n v="240"/>
    <x v="2"/>
    <n v="0.93"/>
    <n v="0.79"/>
    <n v="0.72"/>
  </r>
  <r>
    <x v="7"/>
    <x v="6"/>
    <n v="18571.428571428572"/>
    <n v="25000"/>
    <n v="714.28571428571433"/>
    <n v="242"/>
    <x v="2"/>
    <n v="0.84"/>
    <n v="0.79"/>
    <n v="0.8"/>
  </r>
  <r>
    <x v="8"/>
    <x v="0"/>
    <n v="17857.142857142859"/>
    <n v="22500"/>
    <n v="285.71428571428572"/>
    <n v="285"/>
    <x v="2"/>
    <n v="0.85"/>
    <n v="0.91"/>
    <n v="0.84"/>
  </r>
  <r>
    <x v="8"/>
    <x v="1"/>
    <n v="17857.142857142859"/>
    <n v="21500"/>
    <n v="285.71428571428572"/>
    <n v="275"/>
    <x v="2"/>
    <n v="0.86"/>
    <n v="0.75"/>
    <n v="0.96"/>
  </r>
  <r>
    <x v="8"/>
    <x v="2"/>
    <n v="17857.142857142859"/>
    <n v="24000"/>
    <n v="285.71428571428572"/>
    <n v="285"/>
    <x v="2"/>
    <n v="0.96"/>
    <n v="0.77"/>
    <n v="0.92"/>
  </r>
  <r>
    <x v="8"/>
    <x v="3"/>
    <n v="17857.142857142859"/>
    <n v="24500"/>
    <n v="285.71428571428572"/>
    <n v="290"/>
    <x v="2"/>
    <n v="0.99"/>
    <n v="0.97"/>
    <n v="0.73"/>
  </r>
  <r>
    <x v="8"/>
    <x v="4"/>
    <n v="17857.142857142859"/>
    <n v="24500"/>
    <n v="285.71428571428572"/>
    <n v="310"/>
    <x v="2"/>
    <n v="0.77"/>
    <n v="0.72"/>
    <n v="0.85"/>
  </r>
  <r>
    <x v="8"/>
    <x v="5"/>
    <n v="17857.142857142859"/>
    <n v="24500"/>
    <n v="285.71428571428572"/>
    <n v="270"/>
    <x v="2"/>
    <n v="0.77"/>
    <n v="0.96"/>
    <n v="0.78"/>
  </r>
  <r>
    <x v="8"/>
    <x v="6"/>
    <n v="17857.142857142859"/>
    <n v="24500"/>
    <n v="285.71428571428572"/>
    <n v="285"/>
    <x v="2"/>
    <n v="0.78"/>
    <n v="0.8"/>
    <n v="0.8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CD613E-DD17-4294-B843-CDC9528418D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A16" firstHeaderRow="1" firstDataRow="1" firstDataCol="0"/>
  <pivotFields count="12">
    <pivotField numFmtId="17" showAll="0">
      <items count="10">
        <item x="0"/>
        <item x="1"/>
        <item x="2"/>
        <item x="3"/>
        <item x="4"/>
        <item x="5"/>
        <item x="6"/>
        <item x="7"/>
        <item x="8"/>
        <item t="default"/>
      </items>
    </pivotField>
    <pivotField showAll="0">
      <items count="8">
        <item x="0"/>
        <item x="1"/>
        <item x="2"/>
        <item x="3"/>
        <item x="4"/>
        <item x="5"/>
        <item x="6"/>
        <item t="default"/>
      </items>
    </pivotField>
    <pivotField numFmtId="164" showAll="0"/>
    <pivotField showAll="0"/>
    <pivotField numFmtId="164" showAll="0"/>
    <pivotField showAll="0"/>
    <pivotField showAll="0">
      <items count="4">
        <item x="0"/>
        <item x="1"/>
        <item x="2"/>
        <item t="default"/>
      </items>
    </pivotField>
    <pivotField numFmtId="9" showAll="0"/>
    <pivotField numFmtId="9" showAll="0"/>
    <pivotField dataField="1"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Customer Completion Rate" fld="9" subtotal="average" baseField="0" baseItem="0" numFmtId="9"/>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59CF80D-C34D-4059-A701-2A640136BF2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P3:Q11" firstHeaderRow="1" firstDataRow="1" firstDataCol="1"/>
  <pivotFields count="12">
    <pivotField numFmtId="17" showAll="0">
      <items count="10">
        <item x="0"/>
        <item x="1"/>
        <item x="2"/>
        <item x="3"/>
        <item x="4"/>
        <item x="5"/>
        <item x="6"/>
        <item x="7"/>
        <item x="8"/>
        <item t="default"/>
      </items>
    </pivotField>
    <pivotField axis="axisRow" showAll="0">
      <items count="8">
        <item x="0"/>
        <item x="1"/>
        <item x="2"/>
        <item x="3"/>
        <item x="4"/>
        <item x="5"/>
        <item x="6"/>
        <item t="default"/>
      </items>
    </pivotField>
    <pivotField numFmtId="164" showAll="0"/>
    <pivotField dataField="1" showAll="0"/>
    <pivotField numFmtId="164" showAll="0"/>
    <pivotField showAll="0"/>
    <pivotField showAll="0">
      <items count="4">
        <item x="0"/>
        <item x="1"/>
        <item x="2"/>
        <item t="default"/>
      </items>
    </pivotField>
    <pivotField numFmtId="9" showAll="0"/>
    <pivotField numFmtId="9" showAll="0"/>
    <pivotField numFmtId="9"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8">
    <i>
      <x/>
    </i>
    <i>
      <x v="1"/>
    </i>
    <i>
      <x v="2"/>
    </i>
    <i>
      <x v="3"/>
    </i>
    <i>
      <x v="4"/>
    </i>
    <i>
      <x v="5"/>
    </i>
    <i>
      <x v="6"/>
    </i>
    <i t="grand">
      <x/>
    </i>
  </rowItems>
  <colItems count="1">
    <i/>
  </colItems>
  <dataFields count="1">
    <dataField name="Sum of Profit" fld="3" baseField="0" baseItem="0" numFmtId="3"/>
  </dataFields>
  <formats count="1">
    <format dxfId="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81D3FFB-3B90-4F7F-BFF8-C89B6F90700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A10" firstHeaderRow="1" firstDataRow="1" firstDataCol="0"/>
  <pivotFields count="12">
    <pivotField numFmtId="17" showAll="0">
      <items count="10">
        <item x="0"/>
        <item x="1"/>
        <item x="2"/>
        <item x="3"/>
        <item x="4"/>
        <item x="5"/>
        <item x="6"/>
        <item x="7"/>
        <item x="8"/>
        <item t="default"/>
      </items>
    </pivotField>
    <pivotField showAll="0">
      <items count="8">
        <item x="0"/>
        <item x="1"/>
        <item x="2"/>
        <item x="3"/>
        <item x="4"/>
        <item x="5"/>
        <item x="6"/>
        <item t="default"/>
      </items>
    </pivotField>
    <pivotField numFmtId="164" showAll="0"/>
    <pivotField showAll="0"/>
    <pivotField numFmtId="164" showAll="0"/>
    <pivotField showAll="0"/>
    <pivotField showAll="0">
      <items count="4">
        <item x="0"/>
        <item x="1"/>
        <item x="2"/>
        <item t="default"/>
      </items>
    </pivotField>
    <pivotField dataField="1" numFmtId="9" showAll="0"/>
    <pivotField numFmtId="9" showAll="0"/>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Sales Completion Rate" fld="7" subtotal="average" baseField="0" baseItem="0" numFmtId="9"/>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08EE48E-9C96-4BE0-B6EA-6AAA0D0F9477}" name="PivotTable1"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12">
    <pivotField numFmtId="17" showAll="0">
      <items count="10">
        <item x="0"/>
        <item x="1"/>
        <item x="2"/>
        <item x="3"/>
        <item x="4"/>
        <item x="5"/>
        <item x="6"/>
        <item x="7"/>
        <item x="8"/>
        <item t="default"/>
      </items>
    </pivotField>
    <pivotField showAll="0">
      <items count="8">
        <item x="0"/>
        <item x="1"/>
        <item x="2"/>
        <item x="3"/>
        <item x="4"/>
        <item x="5"/>
        <item x="6"/>
        <item t="default"/>
      </items>
    </pivotField>
    <pivotField dataField="1" numFmtId="164" showAll="0"/>
    <pivotField dataField="1" showAll="0"/>
    <pivotField numFmtId="164" showAll="0"/>
    <pivotField dataField="1" showAll="0"/>
    <pivotField showAll="0">
      <items count="4">
        <item x="0"/>
        <item x="1"/>
        <item x="2"/>
        <item t="default"/>
      </items>
    </pivotField>
    <pivotField numFmtId="9" showAll="0"/>
    <pivotField numFmtId="9" showAll="0"/>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3">
    <i>
      <x/>
    </i>
    <i i="1">
      <x v="1"/>
    </i>
    <i i="2">
      <x v="2"/>
    </i>
  </rowItems>
  <colItems count="1">
    <i/>
  </colItems>
  <dataFields count="3">
    <dataField name="Sum of Sales" fld="2" baseField="0" baseItem="0" numFmtId="164"/>
    <dataField name="Sum of Customers" fld="5" baseField="0" baseItem="0"/>
    <dataField name="Sum of Profit" fld="3"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61C8021-0DB0-453C-B2A9-07A1070B4AC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I3:K13" firstHeaderRow="0" firstDataRow="1" firstDataCol="1"/>
  <pivotFields count="12">
    <pivotField axis="axisRow" numFmtId="17" showAll="0">
      <items count="10">
        <item x="0"/>
        <item x="1"/>
        <item x="2"/>
        <item x="3"/>
        <item x="4"/>
        <item x="5"/>
        <item x="6"/>
        <item x="7"/>
        <item x="8"/>
        <item t="default"/>
      </items>
    </pivotField>
    <pivotField showAll="0">
      <items count="8">
        <item x="0"/>
        <item x="1"/>
        <item x="2"/>
        <item x="3"/>
        <item x="4"/>
        <item x="5"/>
        <item x="6"/>
        <item t="default"/>
      </items>
    </pivotField>
    <pivotField dataField="1" numFmtId="164" showAll="0"/>
    <pivotField showAll="0"/>
    <pivotField dataField="1" numFmtId="164" showAll="0"/>
    <pivotField showAll="0"/>
    <pivotField showAll="0">
      <items count="4">
        <item x="0"/>
        <item x="1"/>
        <item x="2"/>
        <item t="default"/>
      </items>
    </pivotField>
    <pivotField numFmtId="9" showAll="0"/>
    <pivotField numFmtId="9" showAll="0"/>
    <pivotField numFmtId="9"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0"/>
  </rowFields>
  <rowItems count="10">
    <i>
      <x/>
    </i>
    <i>
      <x v="1"/>
    </i>
    <i>
      <x v="2"/>
    </i>
    <i>
      <x v="3"/>
    </i>
    <i>
      <x v="4"/>
    </i>
    <i>
      <x v="5"/>
    </i>
    <i>
      <x v="6"/>
    </i>
    <i>
      <x v="7"/>
    </i>
    <i>
      <x v="8"/>
    </i>
    <i t="grand">
      <x/>
    </i>
  </rowItems>
  <colFields count="1">
    <field x="-2"/>
  </colFields>
  <colItems count="2">
    <i>
      <x/>
    </i>
    <i i="1">
      <x v="1"/>
    </i>
  </colItems>
  <dataFields count="2">
    <dataField name="Sum of Sales" fld="2" baseField="0" baseItem="0" numFmtId="164"/>
    <dataField name="Sum of Target Sales" fld="4" baseField="0" baseItem="0" numFmtId="164"/>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E473EE1-5EA0-4404-BB3D-9DEE3F91824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M3:N13" firstHeaderRow="1" firstDataRow="1" firstDataCol="1"/>
  <pivotFields count="12">
    <pivotField axis="axisRow" numFmtId="17" showAll="0">
      <items count="10">
        <item x="0"/>
        <item x="1"/>
        <item x="2"/>
        <item x="3"/>
        <item x="4"/>
        <item x="5"/>
        <item x="6"/>
        <item x="7"/>
        <item x="8"/>
        <item t="default"/>
      </items>
    </pivotField>
    <pivotField showAll="0">
      <items count="8">
        <item x="0"/>
        <item x="1"/>
        <item x="2"/>
        <item x="3"/>
        <item x="4"/>
        <item x="5"/>
        <item x="6"/>
        <item t="default"/>
      </items>
    </pivotField>
    <pivotField numFmtId="164" showAll="0"/>
    <pivotField showAll="0"/>
    <pivotField numFmtId="164" showAll="0"/>
    <pivotField dataField="1" showAll="0"/>
    <pivotField showAll="0">
      <items count="4">
        <item x="0"/>
        <item x="1"/>
        <item x="2"/>
        <item t="default"/>
      </items>
    </pivotField>
    <pivotField numFmtId="9" showAll="0"/>
    <pivotField numFmtId="9" showAll="0"/>
    <pivotField numFmtId="9"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0"/>
  </rowFields>
  <rowItems count="10">
    <i>
      <x/>
    </i>
    <i>
      <x v="1"/>
    </i>
    <i>
      <x v="2"/>
    </i>
    <i>
      <x v="3"/>
    </i>
    <i>
      <x v="4"/>
    </i>
    <i>
      <x v="5"/>
    </i>
    <i>
      <x v="6"/>
    </i>
    <i>
      <x v="7"/>
    </i>
    <i>
      <x v="8"/>
    </i>
    <i t="grand">
      <x/>
    </i>
  </rowItems>
  <colItems count="1">
    <i/>
  </colItems>
  <dataFields count="1">
    <dataField name="Sum of Customers" fld="5"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7"/>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3E1E97E-F54B-49AE-BBBA-E75BB4DD5D5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A13" firstHeaderRow="1" firstDataRow="1" firstDataCol="0"/>
  <pivotFields count="12">
    <pivotField numFmtId="17" showAll="0">
      <items count="10">
        <item x="0"/>
        <item x="1"/>
        <item x="2"/>
        <item x="3"/>
        <item x="4"/>
        <item x="5"/>
        <item x="6"/>
        <item x="7"/>
        <item x="8"/>
        <item t="default"/>
      </items>
    </pivotField>
    <pivotField showAll="0">
      <items count="8">
        <item x="0"/>
        <item x="1"/>
        <item x="2"/>
        <item x="3"/>
        <item x="4"/>
        <item x="5"/>
        <item x="6"/>
        <item t="default"/>
      </items>
    </pivotField>
    <pivotField numFmtId="164" showAll="0"/>
    <pivotField showAll="0"/>
    <pivotField numFmtId="164" showAll="0"/>
    <pivotField showAll="0"/>
    <pivotField showAll="0">
      <items count="4">
        <item x="0"/>
        <item x="1"/>
        <item x="2"/>
        <item t="default"/>
      </items>
    </pivotField>
    <pivotField numFmtId="9" showAll="0"/>
    <pivotField dataField="1" numFmtId="9" showAll="0"/>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Profit Completion Rate" fld="8" subtotal="average" baseField="0" baseItem="0" numFmtId="9"/>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4CC70B37-7A2A-49A7-A395-06E8A7AA5171}" sourceName="Month">
  <pivotTables>
    <pivotTable tabId="5" name="PivotTable7"/>
    <pivotTable tabId="5" name="PivotTable1"/>
    <pivotTable tabId="5" name="PivotTable2"/>
    <pivotTable tabId="5" name="PivotTable3"/>
    <pivotTable tabId="5" name="PivotTable4"/>
    <pivotTable tabId="5" name="PivotTable5"/>
    <pivotTable tabId="5" name="PivotTable6"/>
  </pivotTables>
  <data>
    <tabular pivotCacheId="172478407">
      <items count="9">
        <i x="0" s="1"/>
        <i x="1" s="1"/>
        <i x="2" s="1"/>
        <i x="3" s="1"/>
        <i x="4" s="1"/>
        <i x="5" s="1"/>
        <i x="6" s="1"/>
        <i x="7"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02E8B1E-440D-48C2-B697-7AA65424255A}" sourceName="Region">
  <pivotTables>
    <pivotTable tabId="5" name="PivotTable7"/>
    <pivotTable tabId="5" name="PivotTable1"/>
    <pivotTable tabId="5" name="PivotTable2"/>
    <pivotTable tabId="5" name="PivotTable3"/>
    <pivotTable tabId="5" name="PivotTable4"/>
    <pivotTable tabId="5" name="PivotTable5"/>
    <pivotTable tabId="5" name="PivotTable6"/>
  </pivotTables>
  <data>
    <tabular pivotCacheId="172478407">
      <items count="7">
        <i x="0" s="1"/>
        <i x="1" s="1"/>
        <i x="2" s="1"/>
        <i x="3" s="1"/>
        <i x="4" s="1"/>
        <i x="5"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9C972C68-D1ED-4931-AB8F-8D5A0CD76E95}" sourceName="Quarter">
  <pivotTables>
    <pivotTable tabId="5" name="PivotTable7"/>
    <pivotTable tabId="5" name="PivotTable1"/>
    <pivotTable tabId="5" name="PivotTable2"/>
    <pivotTable tabId="5" name="PivotTable3"/>
    <pivotTable tabId="5" name="PivotTable4"/>
    <pivotTable tabId="5" name="PivotTable5"/>
    <pivotTable tabId="5" name="PivotTable6"/>
  </pivotTables>
  <data>
    <tabular pivotCacheId="172478407">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9739CC17-5CA2-483D-864C-C9C93B221E57}" cache="Slicer_Month" caption="Month" rowHeight="260350"/>
  <slicer name="Region" xr10:uid="{C60304DE-4BDD-4DF1-869D-2A59A6FB729B}" cache="Slicer_Region" caption="Region" rowHeight="260350"/>
  <slicer name="Quarter" xr10:uid="{5D92DE47-8F43-4E32-9A0A-C0BFE0ACF30C}" cache="Slicer_Quarter" caption="Quarter"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755BCDC6-A916-420F-92B4-FFE81AC1B227}" cache="Slicer_Month" caption="Month" rowHeight="504000"/>
  <slicer name="Region 1" xr10:uid="{C1448E9E-F63E-4461-B710-553F682F38B8}" cache="Slicer_Region" caption="Region" rowHeight="468000"/>
  <slicer name="Quarter 1" xr10:uid="{3BC4E953-C133-48F9-9B88-9276B43A1388}" cache="Slicer_Quarter" caption="Quarter" rowHeight="126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A732767-CC6C-46AC-BE7D-67A862915CA3}" name="Table1" displayName="Table1" ref="A1:J64" totalsRowShown="0" headerRowDxfId="12" dataDxfId="11">
  <autoFilter ref="A1:J64" xr:uid="{DA732767-CC6C-46AC-BE7D-67A862915CA3}"/>
  <tableColumns count="10">
    <tableColumn id="1" xr3:uid="{E236FD68-7BDF-4A82-BC5A-3E7850DB78EB}" name="Month" dataDxfId="10"/>
    <tableColumn id="2" xr3:uid="{045F31D1-FE1F-43A7-A28D-59E28C6F69BD}" name="Region" dataDxfId="9"/>
    <tableColumn id="3" xr3:uid="{5318AA75-6ADD-4BBA-A25D-590B16DE21A2}" name="Sales" dataDxfId="8"/>
    <tableColumn id="4" xr3:uid="{70381C1B-849A-4ED1-B71B-C146D584495C}" name="Profit" dataDxfId="7"/>
    <tableColumn id="5" xr3:uid="{CE054331-BC35-41EB-8B09-0BF1035978D6}" name="Target Sales" dataDxfId="6"/>
    <tableColumn id="6" xr3:uid="{92A01DDC-99B7-4DCF-BF2E-5C0964D1185A}" name="Customers" dataDxfId="5"/>
    <tableColumn id="7" xr3:uid="{A58FBB44-B8F1-4A81-8744-931CA2CBB9B5}" name="Quarter" dataDxfId="4"/>
    <tableColumn id="8" xr3:uid="{DA81543E-E6EF-48F7-8DEE-5196A843ED1D}" name="Sales Completion Rate" dataDxfId="3"/>
    <tableColumn id="9" xr3:uid="{C1DED425-BBF4-41E0-AEC9-623FDBD06F87}" name="Profit Completion Rate" dataDxfId="2"/>
    <tableColumn id="10" xr3:uid="{40DFB036-4C2A-47CB-8143-73F5F11FD509}" name="Customer Completion Rate" dataDxfId="1"/>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ysClr val="window" lastClr="FFFFFF"/>
        </a:solidFill>
      </a:spPr>
      <a:bodyPr vertOverflow="clip" horzOverflow="clip" rtlCol="0" anchor="t"/>
      <a:lstStyle>
        <a:defPPr algn="l">
          <a:defRPr sz="1100"/>
        </a:defPPr>
      </a:lstStyle>
      <a:style>
        <a:lnRef idx="2">
          <a:schemeClr val="accent1">
            <a:shade val="15000"/>
          </a:schemeClr>
        </a:lnRef>
        <a:fillRef idx="1">
          <a:schemeClr val="accent1"/>
        </a:fillRef>
        <a:effectRef idx="0">
          <a:schemeClr val="accent1"/>
        </a:effectRef>
        <a:fontRef idx="minor">
          <a:schemeClr val="lt1"/>
        </a:fontRef>
      </a:style>
    </a:sp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64"/>
  <sheetViews>
    <sheetView workbookViewId="0">
      <selection activeCell="M12" sqref="M12"/>
    </sheetView>
  </sheetViews>
  <sheetFormatPr defaultColWidth="11.19921875" defaultRowHeight="15" customHeight="1" x14ac:dyDescent="0.3"/>
  <cols>
    <col min="1" max="1" width="8.3984375" customWidth="1"/>
    <col min="2" max="2" width="10.19921875" customWidth="1"/>
    <col min="3" max="3" width="8.3984375" customWidth="1"/>
    <col min="4" max="4" width="9.8984375" customWidth="1"/>
    <col min="5" max="5" width="12.69921875" customWidth="1"/>
    <col min="6" max="6" width="11.69921875" customWidth="1"/>
    <col min="7" max="7" width="9.69921875" customWidth="1"/>
    <col min="8" max="8" width="21.3984375" customWidth="1"/>
    <col min="9" max="9" width="21.796875" customWidth="1"/>
    <col min="10" max="10" width="25.296875" customWidth="1"/>
    <col min="11" max="26" width="8.59765625" customWidth="1"/>
  </cols>
  <sheetData>
    <row r="1" spans="1:10" ht="15" customHeight="1" x14ac:dyDescent="0.3">
      <c r="A1" s="10" t="s">
        <v>0</v>
      </c>
      <c r="B1" s="10" t="s">
        <v>1</v>
      </c>
      <c r="C1" s="10" t="s">
        <v>2</v>
      </c>
      <c r="D1" s="10" t="s">
        <v>3</v>
      </c>
      <c r="E1" s="10" t="s">
        <v>4</v>
      </c>
      <c r="F1" s="10" t="s">
        <v>5</v>
      </c>
      <c r="G1" s="10" t="s">
        <v>6</v>
      </c>
      <c r="H1" s="10" t="s">
        <v>7</v>
      </c>
      <c r="I1" s="10" t="s">
        <v>8</v>
      </c>
      <c r="J1" s="10" t="s">
        <v>9</v>
      </c>
    </row>
    <row r="2" spans="1:10" ht="15" customHeight="1" x14ac:dyDescent="0.3">
      <c r="A2" s="11">
        <v>44927</v>
      </c>
      <c r="B2" s="12" t="s">
        <v>10</v>
      </c>
      <c r="C2" s="13">
        <v>5000</v>
      </c>
      <c r="D2" s="13">
        <v>2581</v>
      </c>
      <c r="E2" s="13">
        <v>2857.1428571428573</v>
      </c>
      <c r="F2" s="12">
        <v>80</v>
      </c>
      <c r="G2" s="13" t="s">
        <v>11</v>
      </c>
      <c r="H2" s="14">
        <v>0.89</v>
      </c>
      <c r="I2" s="14">
        <v>0.85</v>
      </c>
      <c r="J2" s="14">
        <v>0.72</v>
      </c>
    </row>
    <row r="3" spans="1:10" ht="15" customHeight="1" x14ac:dyDescent="0.3">
      <c r="A3" s="15">
        <v>44927</v>
      </c>
      <c r="B3" s="16" t="s">
        <v>12</v>
      </c>
      <c r="C3" s="17">
        <v>3500</v>
      </c>
      <c r="D3" s="17">
        <v>3944</v>
      </c>
      <c r="E3" s="17">
        <v>2857.1428571428573</v>
      </c>
      <c r="F3" s="16">
        <v>30</v>
      </c>
      <c r="G3" s="17" t="s">
        <v>11</v>
      </c>
      <c r="H3" s="18">
        <v>0.94</v>
      </c>
      <c r="I3" s="18">
        <v>0.95</v>
      </c>
      <c r="J3" s="18">
        <v>0.86</v>
      </c>
    </row>
    <row r="4" spans="1:10" ht="15" customHeight="1" x14ac:dyDescent="0.3">
      <c r="A4" s="11">
        <v>44927</v>
      </c>
      <c r="B4" s="12" t="s">
        <v>13</v>
      </c>
      <c r="C4" s="13">
        <v>1500</v>
      </c>
      <c r="D4" s="12">
        <v>3293</v>
      </c>
      <c r="E4" s="13">
        <v>2857.1428571428573</v>
      </c>
      <c r="F4" s="12">
        <v>15</v>
      </c>
      <c r="G4" s="13" t="s">
        <v>11</v>
      </c>
      <c r="H4" s="14">
        <v>0.82</v>
      </c>
      <c r="I4" s="14">
        <v>0.8</v>
      </c>
      <c r="J4" s="14">
        <v>0.76</v>
      </c>
    </row>
    <row r="5" spans="1:10" ht="15" customHeight="1" x14ac:dyDescent="0.3">
      <c r="A5" s="15">
        <v>44927</v>
      </c>
      <c r="B5" s="16" t="s">
        <v>14</v>
      </c>
      <c r="C5" s="17">
        <v>1500</v>
      </c>
      <c r="D5" s="16">
        <v>2019</v>
      </c>
      <c r="E5" s="17">
        <v>2857.1428571428573</v>
      </c>
      <c r="F5" s="16">
        <v>40</v>
      </c>
      <c r="G5" s="17" t="s">
        <v>11</v>
      </c>
      <c r="H5" s="18">
        <v>0.79</v>
      </c>
      <c r="I5" s="18">
        <v>0.79</v>
      </c>
      <c r="J5" s="18">
        <v>0.79</v>
      </c>
    </row>
    <row r="6" spans="1:10" ht="15" customHeight="1" x14ac:dyDescent="0.3">
      <c r="A6" s="11">
        <v>44927</v>
      </c>
      <c r="B6" s="12" t="s">
        <v>15</v>
      </c>
      <c r="C6" s="13">
        <v>6000</v>
      </c>
      <c r="D6" s="12">
        <v>2980</v>
      </c>
      <c r="E6" s="13">
        <v>2857.1428571428573</v>
      </c>
      <c r="F6" s="12">
        <v>100</v>
      </c>
      <c r="G6" s="13" t="s">
        <v>11</v>
      </c>
      <c r="H6" s="14">
        <v>0.96</v>
      </c>
      <c r="I6" s="14">
        <v>0.79</v>
      </c>
      <c r="J6" s="14">
        <v>0.7</v>
      </c>
    </row>
    <row r="7" spans="1:10" ht="15" customHeight="1" x14ac:dyDescent="0.3">
      <c r="A7" s="15">
        <v>44927</v>
      </c>
      <c r="B7" s="16" t="s">
        <v>16</v>
      </c>
      <c r="C7" s="17">
        <v>2500</v>
      </c>
      <c r="D7" s="16">
        <v>2209</v>
      </c>
      <c r="E7" s="17">
        <v>2857.1428571428573</v>
      </c>
      <c r="F7" s="16">
        <v>15</v>
      </c>
      <c r="G7" s="17" t="s">
        <v>11</v>
      </c>
      <c r="H7" s="18">
        <v>0.79</v>
      </c>
      <c r="I7" s="18">
        <v>0.79</v>
      </c>
      <c r="J7" s="18">
        <v>0.77</v>
      </c>
    </row>
    <row r="8" spans="1:10" ht="15" customHeight="1" x14ac:dyDescent="0.3">
      <c r="A8" s="11">
        <v>44927</v>
      </c>
      <c r="B8" s="12" t="s">
        <v>17</v>
      </c>
      <c r="C8" s="13">
        <v>10000</v>
      </c>
      <c r="D8" s="12">
        <v>2440</v>
      </c>
      <c r="E8" s="13">
        <v>2857.1428571428573</v>
      </c>
      <c r="F8" s="12">
        <v>20</v>
      </c>
      <c r="G8" s="13" t="s">
        <v>11</v>
      </c>
      <c r="H8" s="14">
        <v>0.75</v>
      </c>
      <c r="I8" s="14">
        <v>0.72</v>
      </c>
      <c r="J8" s="14">
        <v>0.93</v>
      </c>
    </row>
    <row r="9" spans="1:10" ht="15" customHeight="1" x14ac:dyDescent="0.3">
      <c r="A9" s="15">
        <v>44958</v>
      </c>
      <c r="B9" s="16" t="s">
        <v>10</v>
      </c>
      <c r="C9" s="17">
        <v>5000</v>
      </c>
      <c r="D9" s="17">
        <v>2000</v>
      </c>
      <c r="E9" s="17">
        <v>1428.5714285714287</v>
      </c>
      <c r="F9" s="16">
        <v>90</v>
      </c>
      <c r="G9" s="17" t="s">
        <v>11</v>
      </c>
      <c r="H9" s="18">
        <v>0.92</v>
      </c>
      <c r="I9" s="18">
        <v>0.99</v>
      </c>
      <c r="J9" s="18">
        <v>0.74</v>
      </c>
    </row>
    <row r="10" spans="1:10" ht="15" customHeight="1" x14ac:dyDescent="0.3">
      <c r="A10" s="11">
        <v>44958</v>
      </c>
      <c r="B10" s="12" t="s">
        <v>12</v>
      </c>
      <c r="C10" s="13">
        <v>15000</v>
      </c>
      <c r="D10" s="13">
        <v>14431</v>
      </c>
      <c r="E10" s="13">
        <v>1428.5714285714287</v>
      </c>
      <c r="F10" s="12">
        <v>30</v>
      </c>
      <c r="G10" s="13" t="s">
        <v>11</v>
      </c>
      <c r="H10" s="14">
        <v>0.7</v>
      </c>
      <c r="I10" s="14">
        <v>0.99</v>
      </c>
      <c r="J10" s="14">
        <v>0.95</v>
      </c>
    </row>
    <row r="11" spans="1:10" ht="15" customHeight="1" x14ac:dyDescent="0.3">
      <c r="A11" s="15">
        <v>44958</v>
      </c>
      <c r="B11" s="16" t="s">
        <v>13</v>
      </c>
      <c r="C11" s="17">
        <v>1500</v>
      </c>
      <c r="D11" s="16">
        <v>3000</v>
      </c>
      <c r="E11" s="17">
        <v>1428.5714285714287</v>
      </c>
      <c r="F11" s="16">
        <v>15</v>
      </c>
      <c r="G11" s="17" t="s">
        <v>11</v>
      </c>
      <c r="H11" s="18">
        <v>0.91</v>
      </c>
      <c r="I11" s="18">
        <v>0.98</v>
      </c>
      <c r="J11" s="18">
        <v>0.89</v>
      </c>
    </row>
    <row r="12" spans="1:10" ht="15" customHeight="1" x14ac:dyDescent="0.3">
      <c r="A12" s="11">
        <v>44958</v>
      </c>
      <c r="B12" s="12" t="s">
        <v>14</v>
      </c>
      <c r="C12" s="13">
        <v>3500</v>
      </c>
      <c r="D12" s="12">
        <v>4000</v>
      </c>
      <c r="E12" s="13">
        <v>1428.5714285714287</v>
      </c>
      <c r="F12" s="12">
        <v>40</v>
      </c>
      <c r="G12" s="13" t="s">
        <v>11</v>
      </c>
      <c r="H12" s="14">
        <v>0.74</v>
      </c>
      <c r="I12" s="14">
        <v>0.85</v>
      </c>
      <c r="J12" s="14">
        <v>0.7</v>
      </c>
    </row>
    <row r="13" spans="1:10" ht="15" customHeight="1" x14ac:dyDescent="0.3">
      <c r="A13" s="15">
        <v>44958</v>
      </c>
      <c r="B13" s="16" t="s">
        <v>15</v>
      </c>
      <c r="C13" s="17">
        <v>6000</v>
      </c>
      <c r="D13" s="16">
        <v>2000</v>
      </c>
      <c r="E13" s="17">
        <v>1428.5714285714287</v>
      </c>
      <c r="F13" s="16">
        <v>100</v>
      </c>
      <c r="G13" s="17" t="s">
        <v>11</v>
      </c>
      <c r="H13" s="18">
        <v>0.9</v>
      </c>
      <c r="I13" s="18">
        <v>0.9</v>
      </c>
      <c r="J13" s="18">
        <v>0.72</v>
      </c>
    </row>
    <row r="14" spans="1:10" ht="15" customHeight="1" x14ac:dyDescent="0.3">
      <c r="A14" s="11">
        <v>44958</v>
      </c>
      <c r="B14" s="12" t="s">
        <v>16</v>
      </c>
      <c r="C14" s="13">
        <v>4000</v>
      </c>
      <c r="D14" s="12">
        <v>2000</v>
      </c>
      <c r="E14" s="13">
        <v>1428.5714285714287</v>
      </c>
      <c r="F14" s="12">
        <v>15</v>
      </c>
      <c r="G14" s="13" t="s">
        <v>11</v>
      </c>
      <c r="H14" s="14">
        <v>0.95</v>
      </c>
      <c r="I14" s="14">
        <v>0.97</v>
      </c>
      <c r="J14" s="14">
        <v>0.81</v>
      </c>
    </row>
    <row r="15" spans="1:10" ht="15" customHeight="1" x14ac:dyDescent="0.3">
      <c r="A15" s="15">
        <v>44958</v>
      </c>
      <c r="B15" s="16" t="s">
        <v>17</v>
      </c>
      <c r="C15" s="17">
        <v>10000</v>
      </c>
      <c r="D15" s="16">
        <v>2000</v>
      </c>
      <c r="E15" s="17">
        <v>1428.5714285714287</v>
      </c>
      <c r="F15" s="16">
        <v>20</v>
      </c>
      <c r="G15" s="17" t="s">
        <v>11</v>
      </c>
      <c r="H15" s="18">
        <v>0.99</v>
      </c>
      <c r="I15" s="18">
        <v>0.79</v>
      </c>
      <c r="J15" s="18">
        <v>0.75</v>
      </c>
    </row>
    <row r="16" spans="1:10" ht="15" customHeight="1" x14ac:dyDescent="0.3">
      <c r="A16" s="11">
        <v>44986</v>
      </c>
      <c r="B16" s="12" t="s">
        <v>10</v>
      </c>
      <c r="C16" s="13">
        <v>8571.4285714285706</v>
      </c>
      <c r="D16" s="13">
        <v>4000</v>
      </c>
      <c r="E16" s="13">
        <v>1428.5714285714287</v>
      </c>
      <c r="F16" s="12">
        <v>45</v>
      </c>
      <c r="G16" s="13" t="s">
        <v>11</v>
      </c>
      <c r="H16" s="14">
        <v>0.86</v>
      </c>
      <c r="I16" s="14">
        <v>0.97</v>
      </c>
      <c r="J16" s="14">
        <v>0.89</v>
      </c>
    </row>
    <row r="17" spans="1:10" ht="15" customHeight="1" x14ac:dyDescent="0.3">
      <c r="A17" s="15">
        <v>44986</v>
      </c>
      <c r="B17" s="16" t="s">
        <v>12</v>
      </c>
      <c r="C17" s="17">
        <v>8571.4285714285706</v>
      </c>
      <c r="D17" s="17">
        <v>6000</v>
      </c>
      <c r="E17" s="17">
        <v>1428.5714285714287</v>
      </c>
      <c r="F17" s="16">
        <v>43</v>
      </c>
      <c r="G17" s="17" t="s">
        <v>11</v>
      </c>
      <c r="H17" s="18">
        <v>0.83</v>
      </c>
      <c r="I17" s="18">
        <v>0.72</v>
      </c>
      <c r="J17" s="18">
        <v>0.74</v>
      </c>
    </row>
    <row r="18" spans="1:10" ht="15" customHeight="1" x14ac:dyDescent="0.3">
      <c r="A18" s="11">
        <v>44986</v>
      </c>
      <c r="B18" s="12" t="s">
        <v>13</v>
      </c>
      <c r="C18" s="13">
        <v>8571.4285714285706</v>
      </c>
      <c r="D18" s="12">
        <v>6500</v>
      </c>
      <c r="E18" s="13">
        <v>1428.5714285714287</v>
      </c>
      <c r="F18" s="12">
        <v>43</v>
      </c>
      <c r="G18" s="13" t="s">
        <v>11</v>
      </c>
      <c r="H18" s="14">
        <v>0.74</v>
      </c>
      <c r="I18" s="14">
        <v>0.78</v>
      </c>
      <c r="J18" s="14">
        <v>0.94</v>
      </c>
    </row>
    <row r="19" spans="1:10" ht="15" customHeight="1" x14ac:dyDescent="0.3">
      <c r="A19" s="15">
        <v>44986</v>
      </c>
      <c r="B19" s="16" t="s">
        <v>14</v>
      </c>
      <c r="C19" s="17">
        <v>8571.4285714285706</v>
      </c>
      <c r="D19" s="16">
        <v>12000</v>
      </c>
      <c r="E19" s="17">
        <v>1428.5714285714287</v>
      </c>
      <c r="F19" s="16">
        <v>43</v>
      </c>
      <c r="G19" s="17" t="s">
        <v>11</v>
      </c>
      <c r="H19" s="18">
        <v>0.8</v>
      </c>
      <c r="I19" s="18">
        <v>0.84</v>
      </c>
      <c r="J19" s="18">
        <v>0.81</v>
      </c>
    </row>
    <row r="20" spans="1:10" ht="15" customHeight="1" x14ac:dyDescent="0.3">
      <c r="A20" s="11">
        <v>44986</v>
      </c>
      <c r="B20" s="12" t="s">
        <v>15</v>
      </c>
      <c r="C20" s="13">
        <v>8571.4285714285706</v>
      </c>
      <c r="D20" s="12">
        <v>3000</v>
      </c>
      <c r="E20" s="13">
        <v>1428.5714285714287</v>
      </c>
      <c r="F20" s="12">
        <v>43</v>
      </c>
      <c r="G20" s="13" t="s">
        <v>11</v>
      </c>
      <c r="H20" s="14">
        <v>0.89</v>
      </c>
      <c r="I20" s="14">
        <v>0.99</v>
      </c>
      <c r="J20" s="14">
        <v>0.97</v>
      </c>
    </row>
    <row r="21" spans="1:10" ht="15" customHeight="1" x14ac:dyDescent="0.3">
      <c r="A21" s="15">
        <v>44986</v>
      </c>
      <c r="B21" s="16" t="s">
        <v>16</v>
      </c>
      <c r="C21" s="17">
        <v>8571.4285714285706</v>
      </c>
      <c r="D21" s="16">
        <v>2000</v>
      </c>
      <c r="E21" s="17">
        <v>1428.5714285714287</v>
      </c>
      <c r="F21" s="16">
        <v>40</v>
      </c>
      <c r="G21" s="17" t="s">
        <v>11</v>
      </c>
      <c r="H21" s="18">
        <v>0.71</v>
      </c>
      <c r="I21" s="18">
        <v>0.87</v>
      </c>
      <c r="J21" s="18">
        <v>0.94</v>
      </c>
    </row>
    <row r="22" spans="1:10" ht="15" customHeight="1" x14ac:dyDescent="0.3">
      <c r="A22" s="11">
        <v>44986</v>
      </c>
      <c r="B22" s="12" t="s">
        <v>17</v>
      </c>
      <c r="C22" s="13">
        <v>8571.4285714285706</v>
      </c>
      <c r="D22" s="12">
        <v>2000</v>
      </c>
      <c r="E22" s="13">
        <v>1428.5714285714287</v>
      </c>
      <c r="F22" s="12">
        <v>43</v>
      </c>
      <c r="G22" s="13" t="s">
        <v>11</v>
      </c>
      <c r="H22" s="14">
        <v>0.9</v>
      </c>
      <c r="I22" s="14">
        <v>0.72</v>
      </c>
      <c r="J22" s="14">
        <v>0.94</v>
      </c>
    </row>
    <row r="23" spans="1:10" ht="15" customHeight="1" x14ac:dyDescent="0.3">
      <c r="A23" s="15">
        <v>45017</v>
      </c>
      <c r="B23" s="16" t="s">
        <v>10</v>
      </c>
      <c r="C23" s="17">
        <v>7857.1428571428569</v>
      </c>
      <c r="D23" s="17">
        <v>3000</v>
      </c>
      <c r="E23" s="17">
        <v>5714.2857142857147</v>
      </c>
      <c r="F23" s="16">
        <v>100</v>
      </c>
      <c r="G23" s="16" t="s">
        <v>18</v>
      </c>
      <c r="H23" s="18">
        <v>0.89</v>
      </c>
      <c r="I23" s="18">
        <v>0.85</v>
      </c>
      <c r="J23" s="18">
        <v>0.87</v>
      </c>
    </row>
    <row r="24" spans="1:10" ht="15" customHeight="1" x14ac:dyDescent="0.3">
      <c r="A24" s="11">
        <v>45017</v>
      </c>
      <c r="B24" s="12" t="s">
        <v>12</v>
      </c>
      <c r="C24" s="13">
        <v>7857.1428571428569</v>
      </c>
      <c r="D24" s="13">
        <v>4500</v>
      </c>
      <c r="E24" s="13">
        <v>5714.2857142857147</v>
      </c>
      <c r="F24" s="12">
        <v>100</v>
      </c>
      <c r="G24" s="12" t="s">
        <v>18</v>
      </c>
      <c r="H24" s="14">
        <v>0.89</v>
      </c>
      <c r="I24" s="14">
        <v>0.8</v>
      </c>
      <c r="J24" s="14">
        <v>0.88</v>
      </c>
    </row>
    <row r="25" spans="1:10" ht="15" customHeight="1" x14ac:dyDescent="0.3">
      <c r="A25" s="15">
        <v>45017</v>
      </c>
      <c r="B25" s="16" t="s">
        <v>13</v>
      </c>
      <c r="C25" s="17">
        <v>7857.1428571428569</v>
      </c>
      <c r="D25" s="16">
        <v>5500</v>
      </c>
      <c r="E25" s="17">
        <v>5714.2857142857147</v>
      </c>
      <c r="F25" s="16">
        <v>100</v>
      </c>
      <c r="G25" s="16" t="s">
        <v>18</v>
      </c>
      <c r="H25" s="18">
        <v>0.98</v>
      </c>
      <c r="I25" s="18">
        <v>0.99</v>
      </c>
      <c r="J25" s="18">
        <v>0.81</v>
      </c>
    </row>
    <row r="26" spans="1:10" ht="15" customHeight="1" x14ac:dyDescent="0.3">
      <c r="A26" s="11">
        <v>45017</v>
      </c>
      <c r="B26" s="12" t="s">
        <v>14</v>
      </c>
      <c r="C26" s="13">
        <v>7857.1428571428569</v>
      </c>
      <c r="D26" s="12">
        <v>10000</v>
      </c>
      <c r="E26" s="13">
        <v>5714.2857142857147</v>
      </c>
      <c r="F26" s="12">
        <v>100</v>
      </c>
      <c r="G26" s="12" t="s">
        <v>18</v>
      </c>
      <c r="H26" s="14">
        <v>0.81</v>
      </c>
      <c r="I26" s="14">
        <v>0.91</v>
      </c>
      <c r="J26" s="14">
        <v>0.95</v>
      </c>
    </row>
    <row r="27" spans="1:10" ht="15" customHeight="1" x14ac:dyDescent="0.3">
      <c r="A27" s="15">
        <v>45017</v>
      </c>
      <c r="B27" s="16" t="s">
        <v>15</v>
      </c>
      <c r="C27" s="17">
        <v>7857.1428571428569</v>
      </c>
      <c r="D27" s="16">
        <v>2000</v>
      </c>
      <c r="E27" s="17">
        <v>5714.2857142857147</v>
      </c>
      <c r="F27" s="16">
        <v>100</v>
      </c>
      <c r="G27" s="16" t="s">
        <v>18</v>
      </c>
      <c r="H27" s="18">
        <v>0.97</v>
      </c>
      <c r="I27" s="18">
        <v>0.85</v>
      </c>
      <c r="J27" s="18">
        <v>0.85</v>
      </c>
    </row>
    <row r="28" spans="1:10" ht="15" customHeight="1" x14ac:dyDescent="0.3">
      <c r="A28" s="11">
        <v>45017</v>
      </c>
      <c r="B28" s="12" t="s">
        <v>16</v>
      </c>
      <c r="C28" s="13">
        <v>7857.1428571428569</v>
      </c>
      <c r="D28" s="12">
        <v>2000</v>
      </c>
      <c r="E28" s="13">
        <v>5714.2857142857147</v>
      </c>
      <c r="F28" s="12">
        <v>100</v>
      </c>
      <c r="G28" s="12" t="s">
        <v>18</v>
      </c>
      <c r="H28" s="14">
        <v>0.89</v>
      </c>
      <c r="I28" s="14">
        <v>0.94</v>
      </c>
      <c r="J28" s="14">
        <v>0.8</v>
      </c>
    </row>
    <row r="29" spans="1:10" ht="15.6" x14ac:dyDescent="0.3">
      <c r="A29" s="15">
        <v>45017</v>
      </c>
      <c r="B29" s="16" t="s">
        <v>17</v>
      </c>
      <c r="C29" s="17">
        <v>7857.1428571428569</v>
      </c>
      <c r="D29" s="16">
        <v>2000</v>
      </c>
      <c r="E29" s="17">
        <v>5714.2857142857147</v>
      </c>
      <c r="F29" s="16">
        <v>100</v>
      </c>
      <c r="G29" s="16" t="s">
        <v>18</v>
      </c>
      <c r="H29" s="18">
        <v>0.88</v>
      </c>
      <c r="I29" s="18">
        <v>0.94</v>
      </c>
      <c r="J29" s="18">
        <v>0.7</v>
      </c>
    </row>
    <row r="30" spans="1:10" ht="15.6" x14ac:dyDescent="0.3">
      <c r="A30" s="11">
        <v>45047</v>
      </c>
      <c r="B30" s="12" t="s">
        <v>10</v>
      </c>
      <c r="C30" s="13">
        <v>11428.571428571429</v>
      </c>
      <c r="D30" s="13">
        <v>20000</v>
      </c>
      <c r="E30" s="13">
        <v>2857.1428571428573</v>
      </c>
      <c r="F30" s="12">
        <v>90</v>
      </c>
      <c r="G30" s="12" t="s">
        <v>18</v>
      </c>
      <c r="H30" s="14">
        <v>0.75</v>
      </c>
      <c r="I30" s="14">
        <v>0.77</v>
      </c>
      <c r="J30" s="14">
        <v>0.84</v>
      </c>
    </row>
    <row r="31" spans="1:10" ht="15.6" x14ac:dyDescent="0.3">
      <c r="A31" s="15">
        <v>45047</v>
      </c>
      <c r="B31" s="16" t="s">
        <v>12</v>
      </c>
      <c r="C31" s="17">
        <v>11428.571428571429</v>
      </c>
      <c r="D31" s="17">
        <v>17000</v>
      </c>
      <c r="E31" s="17">
        <v>2857.1428571428573</v>
      </c>
      <c r="F31" s="16">
        <v>80</v>
      </c>
      <c r="G31" s="16" t="s">
        <v>18</v>
      </c>
      <c r="H31" s="18">
        <v>0.73</v>
      </c>
      <c r="I31" s="18">
        <v>0.96</v>
      </c>
      <c r="J31" s="18">
        <v>0.93</v>
      </c>
    </row>
    <row r="32" spans="1:10" ht="15.6" x14ac:dyDescent="0.3">
      <c r="A32" s="11">
        <v>45047</v>
      </c>
      <c r="B32" s="12" t="s">
        <v>13</v>
      </c>
      <c r="C32" s="13">
        <v>11428.571428571429</v>
      </c>
      <c r="D32" s="12">
        <v>16000</v>
      </c>
      <c r="E32" s="13">
        <v>2857.1428571428573</v>
      </c>
      <c r="F32" s="12">
        <v>90</v>
      </c>
      <c r="G32" s="12" t="s">
        <v>18</v>
      </c>
      <c r="H32" s="14">
        <v>0.93</v>
      </c>
      <c r="I32" s="14">
        <v>0.74</v>
      </c>
      <c r="J32" s="14">
        <v>0.93</v>
      </c>
    </row>
    <row r="33" spans="1:12" ht="15.6" x14ac:dyDescent="0.3">
      <c r="A33" s="15">
        <v>45047</v>
      </c>
      <c r="B33" s="16" t="s">
        <v>14</v>
      </c>
      <c r="C33" s="17">
        <v>11428.571428571429</v>
      </c>
      <c r="D33" s="16">
        <v>12000</v>
      </c>
      <c r="E33" s="17">
        <v>2857.1428571428573</v>
      </c>
      <c r="F33" s="16">
        <v>110</v>
      </c>
      <c r="G33" s="16" t="s">
        <v>18</v>
      </c>
      <c r="H33" s="18">
        <v>0.85</v>
      </c>
      <c r="I33" s="18">
        <v>0.7</v>
      </c>
      <c r="J33" s="18">
        <v>0.99</v>
      </c>
    </row>
    <row r="34" spans="1:12" ht="15.6" x14ac:dyDescent="0.3">
      <c r="A34" s="11">
        <v>45047</v>
      </c>
      <c r="B34" s="12" t="s">
        <v>15</v>
      </c>
      <c r="C34" s="13">
        <v>11428.571428571429</v>
      </c>
      <c r="D34" s="12">
        <v>20500</v>
      </c>
      <c r="E34" s="13">
        <v>2857.1428571428573</v>
      </c>
      <c r="F34" s="12">
        <v>90</v>
      </c>
      <c r="G34" s="12" t="s">
        <v>18</v>
      </c>
      <c r="H34" s="14">
        <v>0.92</v>
      </c>
      <c r="I34" s="14">
        <v>0.99</v>
      </c>
      <c r="J34" s="14">
        <v>0.88</v>
      </c>
    </row>
    <row r="35" spans="1:12" ht="15.6" x14ac:dyDescent="0.3">
      <c r="A35" s="15">
        <v>45047</v>
      </c>
      <c r="B35" s="16" t="s">
        <v>16</v>
      </c>
      <c r="C35" s="17">
        <v>11428.571428571429</v>
      </c>
      <c r="D35" s="16">
        <v>21000</v>
      </c>
      <c r="E35" s="17">
        <v>2857.1428571428573</v>
      </c>
      <c r="F35" s="16">
        <v>100</v>
      </c>
      <c r="G35" s="16" t="s">
        <v>18</v>
      </c>
      <c r="H35" s="18">
        <v>0.75</v>
      </c>
      <c r="I35" s="18">
        <v>0.97</v>
      </c>
      <c r="J35" s="18">
        <v>0.83</v>
      </c>
    </row>
    <row r="36" spans="1:12" ht="15.6" x14ac:dyDescent="0.3">
      <c r="A36" s="11">
        <v>45047</v>
      </c>
      <c r="B36" s="12" t="s">
        <v>17</v>
      </c>
      <c r="C36" s="13">
        <v>11428.571428571429</v>
      </c>
      <c r="D36" s="12">
        <v>21500</v>
      </c>
      <c r="E36" s="13">
        <v>2857.1428571428573</v>
      </c>
      <c r="F36" s="12">
        <v>90</v>
      </c>
      <c r="G36" s="12" t="s">
        <v>18</v>
      </c>
      <c r="H36" s="14">
        <v>0.77</v>
      </c>
      <c r="I36" s="14">
        <v>0.97</v>
      </c>
      <c r="J36" s="14">
        <v>0.78</v>
      </c>
    </row>
    <row r="37" spans="1:12" ht="15.6" x14ac:dyDescent="0.3">
      <c r="A37" s="15">
        <v>45078</v>
      </c>
      <c r="B37" s="16" t="s">
        <v>10</v>
      </c>
      <c r="C37" s="17">
        <v>14285.714285714286</v>
      </c>
      <c r="D37" s="17">
        <v>22000</v>
      </c>
      <c r="E37" s="17">
        <v>857.14285714285711</v>
      </c>
      <c r="F37" s="16">
        <v>228</v>
      </c>
      <c r="G37" s="16" t="s">
        <v>18</v>
      </c>
      <c r="H37" s="18">
        <v>0.79</v>
      </c>
      <c r="I37" s="18">
        <v>0.75</v>
      </c>
      <c r="J37" s="18">
        <v>0.93</v>
      </c>
    </row>
    <row r="38" spans="1:12" ht="15.6" x14ac:dyDescent="0.3">
      <c r="A38" s="11">
        <v>45078</v>
      </c>
      <c r="B38" s="12" t="s">
        <v>12</v>
      </c>
      <c r="C38" s="13">
        <v>14285.714285714286</v>
      </c>
      <c r="D38" s="13">
        <v>18000</v>
      </c>
      <c r="E38" s="13">
        <v>857.14285714285711</v>
      </c>
      <c r="F38" s="12">
        <v>220</v>
      </c>
      <c r="G38" s="12" t="s">
        <v>18</v>
      </c>
      <c r="H38" s="14">
        <v>0.81</v>
      </c>
      <c r="I38" s="14">
        <v>0.98</v>
      </c>
      <c r="J38" s="14">
        <v>0.86</v>
      </c>
    </row>
    <row r="39" spans="1:12" ht="15.6" x14ac:dyDescent="0.3">
      <c r="A39" s="15">
        <v>45078</v>
      </c>
      <c r="B39" s="16" t="s">
        <v>13</v>
      </c>
      <c r="C39" s="17">
        <v>14285.714285714286</v>
      </c>
      <c r="D39" s="16">
        <v>18500</v>
      </c>
      <c r="E39" s="17">
        <v>857.14285714285711</v>
      </c>
      <c r="F39" s="16">
        <v>228</v>
      </c>
      <c r="G39" s="16" t="s">
        <v>18</v>
      </c>
      <c r="H39" s="18">
        <v>0.86</v>
      </c>
      <c r="I39" s="18">
        <v>0.82</v>
      </c>
      <c r="J39" s="18">
        <v>0.86</v>
      </c>
    </row>
    <row r="40" spans="1:12" ht="15.6" x14ac:dyDescent="0.3">
      <c r="A40" s="11">
        <v>45078</v>
      </c>
      <c r="B40" s="12" t="s">
        <v>14</v>
      </c>
      <c r="C40" s="13">
        <v>14285.714285714286</v>
      </c>
      <c r="D40" s="12">
        <v>14314</v>
      </c>
      <c r="E40" s="13">
        <v>857.14285714285711</v>
      </c>
      <c r="F40" s="12">
        <v>238</v>
      </c>
      <c r="G40" s="12" t="s">
        <v>18</v>
      </c>
      <c r="H40" s="14">
        <v>0.72</v>
      </c>
      <c r="I40" s="14">
        <v>0.95</v>
      </c>
      <c r="J40" s="14">
        <v>0.9</v>
      </c>
    </row>
    <row r="41" spans="1:12" ht="15.6" x14ac:dyDescent="0.3">
      <c r="A41" s="15">
        <v>45078</v>
      </c>
      <c r="B41" s="16" t="s">
        <v>15</v>
      </c>
      <c r="C41" s="17">
        <v>14285.714285714286</v>
      </c>
      <c r="D41" s="16">
        <v>21000</v>
      </c>
      <c r="E41" s="17">
        <v>857.14285714285711</v>
      </c>
      <c r="F41" s="16">
        <v>228</v>
      </c>
      <c r="G41" s="16" t="s">
        <v>18</v>
      </c>
      <c r="H41" s="18">
        <v>0.71</v>
      </c>
      <c r="I41" s="18">
        <v>0.8</v>
      </c>
      <c r="J41" s="18">
        <v>0.76</v>
      </c>
    </row>
    <row r="42" spans="1:12" ht="15.6" x14ac:dyDescent="0.3">
      <c r="A42" s="11">
        <v>45078</v>
      </c>
      <c r="B42" s="12" t="s">
        <v>16</v>
      </c>
      <c r="C42" s="13">
        <v>14285.714285714286</v>
      </c>
      <c r="D42" s="12">
        <v>22500</v>
      </c>
      <c r="E42" s="13">
        <v>857.14285714285711</v>
      </c>
      <c r="F42" s="12">
        <v>230</v>
      </c>
      <c r="G42" s="12" t="s">
        <v>18</v>
      </c>
      <c r="H42" s="14">
        <v>0.97</v>
      </c>
      <c r="I42" s="14">
        <v>0.95</v>
      </c>
      <c r="J42" s="14">
        <v>0.85</v>
      </c>
    </row>
    <row r="43" spans="1:12" ht="15.6" x14ac:dyDescent="0.3">
      <c r="A43" s="15">
        <v>45078</v>
      </c>
      <c r="B43" s="16" t="s">
        <v>17</v>
      </c>
      <c r="C43" s="17">
        <v>14285.714285714286</v>
      </c>
      <c r="D43" s="16">
        <v>22900</v>
      </c>
      <c r="E43" s="17">
        <v>857.14285714285711</v>
      </c>
      <c r="F43" s="16">
        <v>228</v>
      </c>
      <c r="G43" s="16" t="s">
        <v>18</v>
      </c>
      <c r="H43" s="18">
        <v>0.95</v>
      </c>
      <c r="I43" s="18">
        <v>0.85</v>
      </c>
      <c r="J43" s="18">
        <v>0.91</v>
      </c>
    </row>
    <row r="44" spans="1:12" ht="15.6" x14ac:dyDescent="0.3">
      <c r="A44" s="11">
        <v>45108</v>
      </c>
      <c r="B44" s="12" t="s">
        <v>10</v>
      </c>
      <c r="C44" s="13">
        <v>18562.957142857143</v>
      </c>
      <c r="D44" s="13">
        <v>25000</v>
      </c>
      <c r="E44" s="13">
        <v>714.28571428571433</v>
      </c>
      <c r="F44" s="12">
        <v>250</v>
      </c>
      <c r="G44" s="12" t="s">
        <v>19</v>
      </c>
      <c r="H44" s="14">
        <v>0.97</v>
      </c>
      <c r="I44" s="14">
        <v>0.7</v>
      </c>
      <c r="J44" s="14">
        <v>0.93</v>
      </c>
      <c r="K44" s="1"/>
      <c r="L44" s="1"/>
    </row>
    <row r="45" spans="1:12" ht="15.6" x14ac:dyDescent="0.3">
      <c r="A45" s="15">
        <v>45108</v>
      </c>
      <c r="B45" s="16" t="s">
        <v>12</v>
      </c>
      <c r="C45" s="17">
        <v>18562.957142857143</v>
      </c>
      <c r="D45" s="17">
        <v>22000</v>
      </c>
      <c r="E45" s="17">
        <v>714.28571428571433</v>
      </c>
      <c r="F45" s="16">
        <v>240</v>
      </c>
      <c r="G45" s="16" t="s">
        <v>19</v>
      </c>
      <c r="H45" s="18">
        <v>0.9</v>
      </c>
      <c r="I45" s="18">
        <v>0.98</v>
      </c>
      <c r="J45" s="18">
        <v>0.96</v>
      </c>
    </row>
    <row r="46" spans="1:12" ht="15.6" x14ac:dyDescent="0.3">
      <c r="A46" s="11">
        <v>45108</v>
      </c>
      <c r="B46" s="12" t="s">
        <v>13</v>
      </c>
      <c r="C46" s="13">
        <v>18562.957142857143</v>
      </c>
      <c r="D46" s="12">
        <v>25000</v>
      </c>
      <c r="E46" s="13">
        <v>714.28571428571433</v>
      </c>
      <c r="F46" s="12">
        <v>270</v>
      </c>
      <c r="G46" s="12" t="s">
        <v>19</v>
      </c>
      <c r="H46" s="14">
        <v>0.9</v>
      </c>
      <c r="I46" s="14">
        <v>0.95</v>
      </c>
      <c r="J46" s="14">
        <v>0.98</v>
      </c>
    </row>
    <row r="47" spans="1:12" ht="15.6" x14ac:dyDescent="0.3">
      <c r="A47" s="15">
        <v>45108</v>
      </c>
      <c r="B47" s="16" t="s">
        <v>14</v>
      </c>
      <c r="C47" s="17">
        <v>18562.957142857143</v>
      </c>
      <c r="D47" s="16">
        <v>25000</v>
      </c>
      <c r="E47" s="17">
        <v>714.28571428571433</v>
      </c>
      <c r="F47" s="16">
        <v>259</v>
      </c>
      <c r="G47" s="16" t="s">
        <v>19</v>
      </c>
      <c r="H47" s="18">
        <v>0.96</v>
      </c>
      <c r="I47" s="18">
        <v>0.81</v>
      </c>
      <c r="J47" s="18">
        <v>0.85</v>
      </c>
    </row>
    <row r="48" spans="1:12" ht="15.6" x14ac:dyDescent="0.3">
      <c r="A48" s="11">
        <v>45108</v>
      </c>
      <c r="B48" s="12" t="s">
        <v>15</v>
      </c>
      <c r="C48" s="13">
        <v>18562.957142857143</v>
      </c>
      <c r="D48" s="12">
        <v>25000</v>
      </c>
      <c r="E48" s="13">
        <v>714.28571428571433</v>
      </c>
      <c r="F48" s="12">
        <v>260</v>
      </c>
      <c r="G48" s="12" t="s">
        <v>19</v>
      </c>
      <c r="H48" s="14">
        <v>0.98</v>
      </c>
      <c r="I48" s="14">
        <v>0.84</v>
      </c>
      <c r="J48" s="14">
        <v>0.89</v>
      </c>
    </row>
    <row r="49" spans="1:10" ht="15.6" x14ac:dyDescent="0.3">
      <c r="A49" s="15">
        <v>45108</v>
      </c>
      <c r="B49" s="16" t="s">
        <v>16</v>
      </c>
      <c r="C49" s="17">
        <v>18562.957142857143</v>
      </c>
      <c r="D49" s="16">
        <v>25000</v>
      </c>
      <c r="E49" s="17">
        <v>714.28571428571433</v>
      </c>
      <c r="F49" s="16">
        <v>260</v>
      </c>
      <c r="G49" s="16" t="s">
        <v>19</v>
      </c>
      <c r="H49" s="18">
        <v>0.76</v>
      </c>
      <c r="I49" s="18">
        <v>0.7</v>
      </c>
      <c r="J49" s="18">
        <v>0.86</v>
      </c>
    </row>
    <row r="50" spans="1:10" ht="15.6" x14ac:dyDescent="0.3">
      <c r="A50" s="11">
        <v>45108</v>
      </c>
      <c r="B50" s="12" t="s">
        <v>17</v>
      </c>
      <c r="C50" s="13">
        <v>18562.957142857143</v>
      </c>
      <c r="D50" s="12">
        <v>25000</v>
      </c>
      <c r="E50" s="13">
        <v>714.28571428571433</v>
      </c>
      <c r="F50" s="12">
        <v>261</v>
      </c>
      <c r="G50" s="12" t="s">
        <v>19</v>
      </c>
      <c r="H50" s="14">
        <v>0.91</v>
      </c>
      <c r="I50" s="14">
        <v>0.77</v>
      </c>
      <c r="J50" s="14">
        <v>0.75</v>
      </c>
    </row>
    <row r="51" spans="1:10" ht="15.6" x14ac:dyDescent="0.3">
      <c r="A51" s="15">
        <v>45139</v>
      </c>
      <c r="B51" s="16" t="s">
        <v>10</v>
      </c>
      <c r="C51" s="17">
        <v>18571.428571428572</v>
      </c>
      <c r="D51" s="17">
        <v>25000</v>
      </c>
      <c r="E51" s="17">
        <v>714.28571428571433</v>
      </c>
      <c r="F51" s="16">
        <v>242</v>
      </c>
      <c r="G51" s="16" t="s">
        <v>19</v>
      </c>
      <c r="H51" s="18">
        <v>0.79</v>
      </c>
      <c r="I51" s="18">
        <v>0.81</v>
      </c>
      <c r="J51" s="18">
        <v>0.74</v>
      </c>
    </row>
    <row r="52" spans="1:10" ht="15.6" x14ac:dyDescent="0.3">
      <c r="A52" s="11">
        <v>45139</v>
      </c>
      <c r="B52" s="12" t="s">
        <v>12</v>
      </c>
      <c r="C52" s="13">
        <v>18571.428571428572</v>
      </c>
      <c r="D52" s="13">
        <v>22500</v>
      </c>
      <c r="E52" s="13">
        <v>714.28571428571433</v>
      </c>
      <c r="F52" s="12">
        <v>250</v>
      </c>
      <c r="G52" s="12" t="s">
        <v>19</v>
      </c>
      <c r="H52" s="14">
        <v>0.85</v>
      </c>
      <c r="I52" s="14">
        <v>0.82</v>
      </c>
      <c r="J52" s="14">
        <v>0.73</v>
      </c>
    </row>
    <row r="53" spans="1:10" ht="15.6" x14ac:dyDescent="0.3">
      <c r="A53" s="15">
        <v>45139</v>
      </c>
      <c r="B53" s="16" t="s">
        <v>13</v>
      </c>
      <c r="C53" s="17">
        <v>18571.428571428572</v>
      </c>
      <c r="D53" s="16">
        <v>25000</v>
      </c>
      <c r="E53" s="17">
        <v>714.28571428571433</v>
      </c>
      <c r="F53" s="16">
        <v>242</v>
      </c>
      <c r="G53" s="16" t="s">
        <v>19</v>
      </c>
      <c r="H53" s="18">
        <v>0.88</v>
      </c>
      <c r="I53" s="18">
        <v>0.84</v>
      </c>
      <c r="J53" s="18">
        <v>0.75</v>
      </c>
    </row>
    <row r="54" spans="1:10" ht="15.6" x14ac:dyDescent="0.3">
      <c r="A54" s="11">
        <v>45139</v>
      </c>
      <c r="B54" s="12" t="s">
        <v>14</v>
      </c>
      <c r="C54" s="13">
        <v>18571.428571428572</v>
      </c>
      <c r="D54" s="12">
        <v>25000</v>
      </c>
      <c r="E54" s="13">
        <v>714.28571428571433</v>
      </c>
      <c r="F54" s="12">
        <v>242</v>
      </c>
      <c r="G54" s="12" t="s">
        <v>19</v>
      </c>
      <c r="H54" s="14">
        <v>0.81</v>
      </c>
      <c r="I54" s="14">
        <v>0.92</v>
      </c>
      <c r="J54" s="14">
        <v>0.91</v>
      </c>
    </row>
    <row r="55" spans="1:10" ht="15.6" x14ac:dyDescent="0.3">
      <c r="A55" s="15">
        <v>45139</v>
      </c>
      <c r="B55" s="16" t="s">
        <v>15</v>
      </c>
      <c r="C55" s="17">
        <v>18571.428571428572</v>
      </c>
      <c r="D55" s="16">
        <v>25000</v>
      </c>
      <c r="E55" s="17">
        <v>714.28571428571433</v>
      </c>
      <c r="F55" s="16">
        <v>242</v>
      </c>
      <c r="G55" s="16" t="s">
        <v>19</v>
      </c>
      <c r="H55" s="18">
        <v>0.84</v>
      </c>
      <c r="I55" s="18">
        <v>0.73</v>
      </c>
      <c r="J55" s="18">
        <v>0.99</v>
      </c>
    </row>
    <row r="56" spans="1:10" ht="15.6" x14ac:dyDescent="0.3">
      <c r="A56" s="11">
        <v>45139</v>
      </c>
      <c r="B56" s="12" t="s">
        <v>16</v>
      </c>
      <c r="C56" s="13">
        <v>18571.428571428572</v>
      </c>
      <c r="D56" s="12">
        <v>25000</v>
      </c>
      <c r="E56" s="13">
        <v>714.28571428571433</v>
      </c>
      <c r="F56" s="12">
        <v>240</v>
      </c>
      <c r="G56" s="12" t="s">
        <v>19</v>
      </c>
      <c r="H56" s="14">
        <v>0.93</v>
      </c>
      <c r="I56" s="14">
        <v>0.79</v>
      </c>
      <c r="J56" s="14">
        <v>0.72</v>
      </c>
    </row>
    <row r="57" spans="1:10" ht="15.6" x14ac:dyDescent="0.3">
      <c r="A57" s="15">
        <v>45139</v>
      </c>
      <c r="B57" s="16" t="s">
        <v>17</v>
      </c>
      <c r="C57" s="17">
        <v>18571.428571428572</v>
      </c>
      <c r="D57" s="16">
        <v>25000</v>
      </c>
      <c r="E57" s="17">
        <v>714.28571428571433</v>
      </c>
      <c r="F57" s="16">
        <v>242</v>
      </c>
      <c r="G57" s="16" t="s">
        <v>19</v>
      </c>
      <c r="H57" s="18">
        <v>0.84</v>
      </c>
      <c r="I57" s="18">
        <v>0.79</v>
      </c>
      <c r="J57" s="18">
        <v>0.8</v>
      </c>
    </row>
    <row r="58" spans="1:10" ht="15.6" x14ac:dyDescent="0.3">
      <c r="A58" s="11">
        <v>45170</v>
      </c>
      <c r="B58" s="12" t="s">
        <v>10</v>
      </c>
      <c r="C58" s="13">
        <v>17857.142857142859</v>
      </c>
      <c r="D58" s="13">
        <v>22500</v>
      </c>
      <c r="E58" s="13">
        <v>285.71428571428572</v>
      </c>
      <c r="F58" s="12">
        <v>285</v>
      </c>
      <c r="G58" s="12" t="s">
        <v>19</v>
      </c>
      <c r="H58" s="14">
        <v>0.85</v>
      </c>
      <c r="I58" s="14">
        <v>0.91</v>
      </c>
      <c r="J58" s="14">
        <v>0.84</v>
      </c>
    </row>
    <row r="59" spans="1:10" ht="15.6" x14ac:dyDescent="0.3">
      <c r="A59" s="15">
        <v>45170</v>
      </c>
      <c r="B59" s="16" t="s">
        <v>12</v>
      </c>
      <c r="C59" s="17">
        <v>17857.142857142859</v>
      </c>
      <c r="D59" s="17">
        <v>21500</v>
      </c>
      <c r="E59" s="17">
        <v>285.71428571428572</v>
      </c>
      <c r="F59" s="16">
        <v>275</v>
      </c>
      <c r="G59" s="16" t="s">
        <v>19</v>
      </c>
      <c r="H59" s="18">
        <v>0.86</v>
      </c>
      <c r="I59" s="18">
        <v>0.75</v>
      </c>
      <c r="J59" s="18">
        <v>0.96</v>
      </c>
    </row>
    <row r="60" spans="1:10" ht="15.6" x14ac:dyDescent="0.3">
      <c r="A60" s="11">
        <v>45170</v>
      </c>
      <c r="B60" s="12" t="s">
        <v>13</v>
      </c>
      <c r="C60" s="13">
        <v>17857.142857142859</v>
      </c>
      <c r="D60" s="12">
        <v>24000</v>
      </c>
      <c r="E60" s="13">
        <v>285.71428571428572</v>
      </c>
      <c r="F60" s="12">
        <v>285</v>
      </c>
      <c r="G60" s="12" t="s">
        <v>19</v>
      </c>
      <c r="H60" s="14">
        <v>0.96</v>
      </c>
      <c r="I60" s="14">
        <v>0.77</v>
      </c>
      <c r="J60" s="14">
        <v>0.92</v>
      </c>
    </row>
    <row r="61" spans="1:10" ht="15.6" x14ac:dyDescent="0.3">
      <c r="A61" s="15">
        <v>45170</v>
      </c>
      <c r="B61" s="16" t="s">
        <v>14</v>
      </c>
      <c r="C61" s="17">
        <v>17857.142857142859</v>
      </c>
      <c r="D61" s="16">
        <v>24500</v>
      </c>
      <c r="E61" s="17">
        <v>285.71428571428572</v>
      </c>
      <c r="F61" s="16">
        <v>290</v>
      </c>
      <c r="G61" s="16" t="s">
        <v>19</v>
      </c>
      <c r="H61" s="18">
        <v>0.99</v>
      </c>
      <c r="I61" s="18">
        <v>0.97</v>
      </c>
      <c r="J61" s="18">
        <v>0.73</v>
      </c>
    </row>
    <row r="62" spans="1:10" ht="15.6" x14ac:dyDescent="0.3">
      <c r="A62" s="11">
        <v>45170</v>
      </c>
      <c r="B62" s="12" t="s">
        <v>15</v>
      </c>
      <c r="C62" s="13">
        <v>17857.142857142859</v>
      </c>
      <c r="D62" s="12">
        <v>24500</v>
      </c>
      <c r="E62" s="13">
        <v>285.71428571428572</v>
      </c>
      <c r="F62" s="12">
        <v>310</v>
      </c>
      <c r="G62" s="12" t="s">
        <v>19</v>
      </c>
      <c r="H62" s="14">
        <v>0.77</v>
      </c>
      <c r="I62" s="14">
        <v>0.72</v>
      </c>
      <c r="J62" s="14">
        <v>0.85</v>
      </c>
    </row>
    <row r="63" spans="1:10" ht="15.6" x14ac:dyDescent="0.3">
      <c r="A63" s="15">
        <v>45170</v>
      </c>
      <c r="B63" s="16" t="s">
        <v>16</v>
      </c>
      <c r="C63" s="17">
        <v>17857.142857142859</v>
      </c>
      <c r="D63" s="16">
        <v>24500</v>
      </c>
      <c r="E63" s="17">
        <v>285.71428571428572</v>
      </c>
      <c r="F63" s="16">
        <v>270</v>
      </c>
      <c r="G63" s="16" t="s">
        <v>19</v>
      </c>
      <c r="H63" s="18">
        <v>0.77</v>
      </c>
      <c r="I63" s="18">
        <v>0.96</v>
      </c>
      <c r="J63" s="18">
        <v>0.78</v>
      </c>
    </row>
    <row r="64" spans="1:10" ht="15.6" x14ac:dyDescent="0.3">
      <c r="A64" s="11">
        <v>45170</v>
      </c>
      <c r="B64" s="12" t="s">
        <v>17</v>
      </c>
      <c r="C64" s="13">
        <v>17857.142857142859</v>
      </c>
      <c r="D64" s="12">
        <v>24500</v>
      </c>
      <c r="E64" s="13">
        <v>285.71428571428572</v>
      </c>
      <c r="F64" s="12">
        <v>285</v>
      </c>
      <c r="G64" s="12" t="s">
        <v>19</v>
      </c>
      <c r="H64" s="14">
        <v>0.78</v>
      </c>
      <c r="I64" s="14">
        <v>0.8</v>
      </c>
      <c r="J64" s="14">
        <v>0.85</v>
      </c>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14682-86C4-4C73-A81F-FBD78CD74966}">
  <dimension ref="A3:R45"/>
  <sheetViews>
    <sheetView topLeftCell="E20" zoomScale="85" zoomScaleNormal="85" workbookViewId="0">
      <selection activeCell="C18" sqref="C18"/>
    </sheetView>
  </sheetViews>
  <sheetFormatPr defaultRowHeight="15.6" x14ac:dyDescent="0.3"/>
  <cols>
    <col min="1" max="1" width="33.59765625" style="3" bestFit="1" customWidth="1"/>
    <col min="2" max="2" width="9.5" style="3" bestFit="1" customWidth="1"/>
    <col min="3" max="3" width="11.8984375" style="3" bestFit="1" customWidth="1"/>
    <col min="4" max="4" width="8.796875" style="3"/>
    <col min="5" max="5" width="25" style="3" customWidth="1"/>
    <col min="6" max="6" width="19" style="3" customWidth="1"/>
    <col min="7" max="8" width="8.796875" style="3"/>
    <col min="9" max="9" width="12.5" style="3" bestFit="1" customWidth="1"/>
    <col min="10" max="10" width="11.3984375" style="3" bestFit="1" customWidth="1"/>
    <col min="11" max="11" width="17.3984375" style="3" bestFit="1" customWidth="1"/>
    <col min="12" max="12" width="8.796875" style="3"/>
    <col min="13" max="13" width="12.5" style="3" bestFit="1" customWidth="1"/>
    <col min="14" max="14" width="16.19921875" style="3" bestFit="1" customWidth="1"/>
    <col min="15" max="15" width="8.796875" style="3"/>
    <col min="16" max="16" width="12.5" style="3" bestFit="1" customWidth="1"/>
    <col min="17" max="17" width="11.8984375" style="3" bestFit="1" customWidth="1"/>
    <col min="18" max="16384" width="8.796875" style="3"/>
  </cols>
  <sheetData>
    <row r="3" spans="1:18" x14ac:dyDescent="0.3">
      <c r="A3" s="23" t="s">
        <v>30</v>
      </c>
      <c r="B3" s="20"/>
      <c r="C3"/>
      <c r="E3" s="4"/>
      <c r="F3" s="5" t="s">
        <v>20</v>
      </c>
      <c r="I3" s="23" t="s">
        <v>34</v>
      </c>
      <c r="J3" s="19" t="s">
        <v>27</v>
      </c>
      <c r="K3" s="21" t="s">
        <v>36</v>
      </c>
      <c r="M3" s="23" t="s">
        <v>34</v>
      </c>
      <c r="N3" s="20" t="s">
        <v>29</v>
      </c>
      <c r="O3"/>
      <c r="P3" s="23" t="s">
        <v>34</v>
      </c>
      <c r="Q3" s="20" t="s">
        <v>28</v>
      </c>
      <c r="R3"/>
    </row>
    <row r="4" spans="1:18" x14ac:dyDescent="0.3">
      <c r="A4" s="24" t="s">
        <v>27</v>
      </c>
      <c r="B4" s="25">
        <v>754940.69999999937</v>
      </c>
      <c r="C4"/>
      <c r="E4" s="6" t="s">
        <v>2</v>
      </c>
      <c r="F4" s="8">
        <f>GETPIVOTDATA("Sum of Sales",$A$3)</f>
        <v>754940.69999999937</v>
      </c>
      <c r="I4" s="29">
        <v>44927</v>
      </c>
      <c r="J4" s="32">
        <v>30000</v>
      </c>
      <c r="K4" s="33">
        <v>20000.000000000004</v>
      </c>
      <c r="M4" s="29">
        <v>44927</v>
      </c>
      <c r="N4" s="20">
        <v>300</v>
      </c>
      <c r="O4"/>
      <c r="P4" s="24" t="s">
        <v>10</v>
      </c>
      <c r="Q4" s="38">
        <v>126081</v>
      </c>
      <c r="R4"/>
    </row>
    <row r="5" spans="1:18" x14ac:dyDescent="0.3">
      <c r="A5" s="26" t="s">
        <v>29</v>
      </c>
      <c r="B5" s="42">
        <v>9360</v>
      </c>
      <c r="C5"/>
      <c r="E5" s="6" t="s">
        <v>3</v>
      </c>
      <c r="F5" s="8">
        <f>GETPIVOTDATA("Sum of Profit",$A$3)</f>
        <v>891111</v>
      </c>
      <c r="I5" s="30">
        <v>44958</v>
      </c>
      <c r="J5" s="34">
        <v>45000</v>
      </c>
      <c r="K5" s="35">
        <v>10000.000000000002</v>
      </c>
      <c r="M5" s="30">
        <v>44958</v>
      </c>
      <c r="N5" s="42">
        <v>310</v>
      </c>
      <c r="O5"/>
      <c r="P5" s="26" t="s">
        <v>12</v>
      </c>
      <c r="Q5" s="39">
        <v>129875</v>
      </c>
      <c r="R5"/>
    </row>
    <row r="6" spans="1:18" x14ac:dyDescent="0.3">
      <c r="A6" s="27" t="s">
        <v>28</v>
      </c>
      <c r="B6" s="43">
        <v>891111</v>
      </c>
      <c r="C6"/>
      <c r="E6" s="6" t="s">
        <v>5</v>
      </c>
      <c r="F6" s="9">
        <f>GETPIVOTDATA("Sum of Customers",$A$3)</f>
        <v>9360</v>
      </c>
      <c r="I6" s="30">
        <v>44986</v>
      </c>
      <c r="J6" s="34">
        <v>60000</v>
      </c>
      <c r="K6" s="35">
        <v>10000.000000000002</v>
      </c>
      <c r="M6" s="30">
        <v>44986</v>
      </c>
      <c r="N6" s="42">
        <v>300</v>
      </c>
      <c r="O6"/>
      <c r="P6" s="26" t="s">
        <v>13</v>
      </c>
      <c r="Q6" s="39">
        <v>126793</v>
      </c>
      <c r="R6"/>
    </row>
    <row r="7" spans="1:18" x14ac:dyDescent="0.3">
      <c r="A7"/>
      <c r="B7"/>
      <c r="C7"/>
      <c r="I7" s="30">
        <v>45017</v>
      </c>
      <c r="J7" s="34">
        <v>54999.999999999993</v>
      </c>
      <c r="K7" s="35">
        <v>40000.000000000007</v>
      </c>
      <c r="M7" s="30">
        <v>45017</v>
      </c>
      <c r="N7" s="42">
        <v>700</v>
      </c>
      <c r="O7"/>
      <c r="P7" s="26" t="s">
        <v>14</v>
      </c>
      <c r="Q7" s="39">
        <v>128833</v>
      </c>
      <c r="R7"/>
    </row>
    <row r="8" spans="1:18" x14ac:dyDescent="0.3">
      <c r="A8"/>
      <c r="B8"/>
      <c r="C8"/>
      <c r="I8" s="30">
        <v>45047</v>
      </c>
      <c r="J8" s="34">
        <v>80000.000000000015</v>
      </c>
      <c r="K8" s="35">
        <v>20000.000000000004</v>
      </c>
      <c r="M8" s="30">
        <v>45047</v>
      </c>
      <c r="N8" s="42">
        <v>650</v>
      </c>
      <c r="O8"/>
      <c r="P8" s="26" t="s">
        <v>15</v>
      </c>
      <c r="Q8" s="39">
        <v>125980</v>
      </c>
      <c r="R8"/>
    </row>
    <row r="9" spans="1:18" x14ac:dyDescent="0.3">
      <c r="A9" s="20" t="s">
        <v>31</v>
      </c>
      <c r="B9"/>
      <c r="C9"/>
      <c r="E9" s="6" t="s">
        <v>21</v>
      </c>
      <c r="F9" s="2">
        <f>GETPIVOTDATA("Sales Completion Rate",$A$9)</f>
        <v>0.85555555555555574</v>
      </c>
      <c r="I9" s="30">
        <v>45078</v>
      </c>
      <c r="J9" s="34">
        <v>100000.00000000001</v>
      </c>
      <c r="K9" s="35">
        <v>5999.9999999999991</v>
      </c>
      <c r="M9" s="30">
        <v>45078</v>
      </c>
      <c r="N9" s="42">
        <v>1600</v>
      </c>
      <c r="O9"/>
      <c r="P9" s="26" t="s">
        <v>16</v>
      </c>
      <c r="Q9" s="39">
        <v>126209</v>
      </c>
      <c r="R9"/>
    </row>
    <row r="10" spans="1:18" x14ac:dyDescent="0.3">
      <c r="A10" s="28">
        <v>0.85555555555555574</v>
      </c>
      <c r="B10"/>
      <c r="C10"/>
      <c r="E10" s="6" t="s">
        <v>22</v>
      </c>
      <c r="F10" s="2">
        <v>0.14000000000000001</v>
      </c>
      <c r="I10" s="30">
        <v>45108</v>
      </c>
      <c r="J10" s="34">
        <v>129940.69999999998</v>
      </c>
      <c r="K10" s="35">
        <v>5000.0000000000009</v>
      </c>
      <c r="M10" s="30">
        <v>45108</v>
      </c>
      <c r="N10" s="42">
        <v>1800</v>
      </c>
      <c r="O10"/>
      <c r="P10" s="26" t="s">
        <v>17</v>
      </c>
      <c r="Q10" s="39">
        <v>127340</v>
      </c>
      <c r="R10"/>
    </row>
    <row r="11" spans="1:18" x14ac:dyDescent="0.3">
      <c r="A11"/>
      <c r="B11"/>
      <c r="C11"/>
      <c r="F11" s="7"/>
      <c r="I11" s="30">
        <v>45139</v>
      </c>
      <c r="J11" s="34">
        <v>130000.00000000003</v>
      </c>
      <c r="K11" s="35">
        <v>5000.0000000000009</v>
      </c>
      <c r="M11" s="30">
        <v>45139</v>
      </c>
      <c r="N11" s="42">
        <v>1700</v>
      </c>
      <c r="O11"/>
      <c r="P11" s="37" t="s">
        <v>35</v>
      </c>
      <c r="Q11" s="40">
        <v>891111</v>
      </c>
      <c r="R11"/>
    </row>
    <row r="12" spans="1:18" x14ac:dyDescent="0.3">
      <c r="A12" s="20" t="s">
        <v>32</v>
      </c>
      <c r="B12"/>
      <c r="C12"/>
      <c r="E12" s="6" t="s">
        <v>23</v>
      </c>
      <c r="F12" s="2">
        <f>GETPIVOTDATA("Profit Completion Rate",$A$12)</f>
        <v>0.85492063492063519</v>
      </c>
      <c r="I12" s="30">
        <v>45170</v>
      </c>
      <c r="J12" s="34">
        <v>125000</v>
      </c>
      <c r="K12" s="35">
        <v>2000.0000000000002</v>
      </c>
      <c r="M12" s="30">
        <v>45170</v>
      </c>
      <c r="N12" s="42">
        <v>2000</v>
      </c>
      <c r="O12"/>
      <c r="P12"/>
      <c r="Q12"/>
      <c r="R12"/>
    </row>
    <row r="13" spans="1:18" x14ac:dyDescent="0.3">
      <c r="A13" s="28">
        <v>0.85492063492063519</v>
      </c>
      <c r="B13"/>
      <c r="C13"/>
      <c r="E13" s="6" t="s">
        <v>24</v>
      </c>
      <c r="F13" s="2">
        <f>15%</f>
        <v>0.15</v>
      </c>
      <c r="I13" s="31" t="s">
        <v>35</v>
      </c>
      <c r="J13" s="22">
        <v>754940.7</v>
      </c>
      <c r="K13" s="36">
        <v>118000.00000000001</v>
      </c>
      <c r="M13" s="31" t="s">
        <v>35</v>
      </c>
      <c r="N13" s="44">
        <v>9360</v>
      </c>
      <c r="O13"/>
      <c r="P13"/>
      <c r="Q13"/>
      <c r="R13"/>
    </row>
    <row r="14" spans="1:18" x14ac:dyDescent="0.3">
      <c r="A14"/>
      <c r="B14"/>
      <c r="C14"/>
      <c r="F14" s="7"/>
      <c r="I14"/>
      <c r="J14"/>
      <c r="K14"/>
      <c r="M14"/>
      <c r="N14"/>
      <c r="O14"/>
      <c r="P14"/>
      <c r="Q14"/>
      <c r="R14"/>
    </row>
    <row r="15" spans="1:18" x14ac:dyDescent="0.3">
      <c r="A15" s="20" t="s">
        <v>33</v>
      </c>
      <c r="B15"/>
      <c r="C15"/>
      <c r="E15" s="6" t="s">
        <v>25</v>
      </c>
      <c r="F15" s="2">
        <f>GETPIVOTDATA("Customer Completion Rate",$A$15)</f>
        <v>0.8447619047619046</v>
      </c>
      <c r="I15"/>
      <c r="J15"/>
      <c r="K15"/>
      <c r="M15"/>
      <c r="N15"/>
      <c r="O15"/>
      <c r="P15"/>
      <c r="Q15"/>
      <c r="R15"/>
    </row>
    <row r="16" spans="1:18" x14ac:dyDescent="0.3">
      <c r="A16" s="28">
        <v>0.8447619047619046</v>
      </c>
      <c r="B16"/>
      <c r="C16"/>
      <c r="E16" s="6" t="s">
        <v>26</v>
      </c>
      <c r="F16" s="2">
        <f>16%</f>
        <v>0.16</v>
      </c>
      <c r="I16"/>
      <c r="J16"/>
      <c r="K16"/>
      <c r="M16"/>
      <c r="N16"/>
      <c r="O16"/>
      <c r="P16"/>
      <c r="Q16"/>
      <c r="R16"/>
    </row>
    <row r="17" spans="1:18" x14ac:dyDescent="0.3">
      <c r="A17"/>
      <c r="B17"/>
      <c r="C17"/>
      <c r="I17"/>
      <c r="J17"/>
      <c r="K17"/>
      <c r="M17"/>
      <c r="N17"/>
      <c r="O17"/>
      <c r="P17"/>
      <c r="Q17"/>
      <c r="R17"/>
    </row>
    <row r="18" spans="1:18" x14ac:dyDescent="0.3">
      <c r="A18"/>
      <c r="B18"/>
      <c r="C18"/>
      <c r="I18"/>
      <c r="J18"/>
      <c r="K18"/>
      <c r="M18"/>
      <c r="N18"/>
      <c r="O18"/>
      <c r="P18"/>
      <c r="Q18"/>
      <c r="R18"/>
    </row>
    <row r="19" spans="1:18" x14ac:dyDescent="0.3">
      <c r="A19"/>
      <c r="B19"/>
      <c r="C19"/>
      <c r="I19"/>
      <c r="J19"/>
      <c r="K19"/>
      <c r="M19"/>
      <c r="N19"/>
      <c r="O19"/>
      <c r="P19"/>
      <c r="Q19"/>
      <c r="R19"/>
    </row>
    <row r="20" spans="1:18" x14ac:dyDescent="0.3">
      <c r="A20"/>
      <c r="B20"/>
      <c r="C20"/>
      <c r="I20"/>
      <c r="J20"/>
      <c r="K20"/>
      <c r="M20"/>
      <c r="N20"/>
      <c r="O20"/>
      <c r="P20"/>
      <c r="Q20"/>
      <c r="R20"/>
    </row>
    <row r="21" spans="1:18" x14ac:dyDescent="0.3">
      <c r="A21"/>
      <c r="B21"/>
      <c r="C21"/>
      <c r="I21"/>
      <c r="M21"/>
    </row>
    <row r="22" spans="1:18" x14ac:dyDescent="0.3">
      <c r="A22"/>
      <c r="B22"/>
      <c r="C22"/>
      <c r="I22"/>
      <c r="M22"/>
    </row>
    <row r="23" spans="1:18" x14ac:dyDescent="0.3">
      <c r="A23"/>
      <c r="B23"/>
      <c r="C23"/>
    </row>
    <row r="24" spans="1:18" x14ac:dyDescent="0.3">
      <c r="A24"/>
      <c r="B24"/>
      <c r="C24"/>
    </row>
    <row r="25" spans="1:18" x14ac:dyDescent="0.3">
      <c r="A25"/>
      <c r="B25"/>
      <c r="C25"/>
    </row>
    <row r="26" spans="1:18" x14ac:dyDescent="0.3">
      <c r="A26"/>
      <c r="B26"/>
      <c r="C26"/>
    </row>
    <row r="27" spans="1:18" x14ac:dyDescent="0.3">
      <c r="A27"/>
      <c r="B27"/>
      <c r="C27"/>
    </row>
    <row r="28" spans="1:18" x14ac:dyDescent="0.3">
      <c r="A28"/>
      <c r="B28"/>
      <c r="C28"/>
    </row>
    <row r="29" spans="1:18" x14ac:dyDescent="0.3">
      <c r="A29"/>
      <c r="B29"/>
      <c r="C29"/>
    </row>
    <row r="30" spans="1:18" x14ac:dyDescent="0.3">
      <c r="A30"/>
      <c r="B30"/>
      <c r="C30"/>
    </row>
    <row r="31" spans="1:18" x14ac:dyDescent="0.3">
      <c r="A31"/>
      <c r="B31"/>
      <c r="C31"/>
    </row>
    <row r="32" spans="1:18" x14ac:dyDescent="0.3">
      <c r="A32"/>
      <c r="B32"/>
      <c r="C32"/>
    </row>
    <row r="33" spans="1:3" x14ac:dyDescent="0.3">
      <c r="A33"/>
      <c r="B33"/>
      <c r="C33"/>
    </row>
    <row r="34" spans="1:3" x14ac:dyDescent="0.3">
      <c r="A34"/>
      <c r="B34"/>
      <c r="C34"/>
    </row>
    <row r="35" spans="1:3" x14ac:dyDescent="0.3">
      <c r="A35"/>
      <c r="B35"/>
      <c r="C35"/>
    </row>
    <row r="36" spans="1:3" x14ac:dyDescent="0.3">
      <c r="A36"/>
      <c r="B36"/>
      <c r="C36"/>
    </row>
    <row r="37" spans="1:3" x14ac:dyDescent="0.3">
      <c r="A37"/>
      <c r="B37"/>
      <c r="C37"/>
    </row>
    <row r="38" spans="1:3" x14ac:dyDescent="0.3">
      <c r="A38"/>
      <c r="B38"/>
      <c r="C38"/>
    </row>
    <row r="39" spans="1:3" x14ac:dyDescent="0.3">
      <c r="A39"/>
      <c r="B39"/>
      <c r="C39"/>
    </row>
    <row r="40" spans="1:3" x14ac:dyDescent="0.3">
      <c r="A40"/>
      <c r="B40"/>
      <c r="C40"/>
    </row>
    <row r="41" spans="1:3" x14ac:dyDescent="0.3">
      <c r="A41"/>
      <c r="B41"/>
      <c r="C41"/>
    </row>
    <row r="42" spans="1:3" x14ac:dyDescent="0.3">
      <c r="A42"/>
      <c r="B42"/>
      <c r="C42"/>
    </row>
    <row r="43" spans="1:3" x14ac:dyDescent="0.3">
      <c r="A43"/>
      <c r="B43"/>
      <c r="C43"/>
    </row>
    <row r="44" spans="1:3" x14ac:dyDescent="0.3">
      <c r="A44"/>
      <c r="B44"/>
      <c r="C44"/>
    </row>
    <row r="45" spans="1:3" x14ac:dyDescent="0.3">
      <c r="A45"/>
      <c r="B45"/>
      <c r="C45"/>
    </row>
  </sheetData>
  <pageMargins left="0.7" right="0.7" top="0.75" bottom="0.75" header="0.3" footer="0.3"/>
  <pageSetup orientation="portrait" r:id="rId8"/>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B494B-0D41-48D6-B093-2BE05755D649}">
  <dimension ref="A1"/>
  <sheetViews>
    <sheetView showGridLines="0" tabSelected="1" zoomScale="36" zoomScaleNormal="30" workbookViewId="0">
      <selection activeCell="BY39" sqref="BY39"/>
    </sheetView>
  </sheetViews>
  <sheetFormatPr defaultRowHeight="15.6" x14ac:dyDescent="0.3"/>
  <cols>
    <col min="1" max="16384" width="8.796875" style="4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Data</vt:lpstr>
      <vt:lpstr>REAL DATA</vt:lpstr>
      <vt:lpstr>SALES DASHBOARD </vt:lpstr>
      <vt:lpstr>_xlcn.WorksheetConnection_deliveries.csvA1N180791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2025-08-07T06:57:09Z</dcterms:created>
  <dcterms:modified xsi:type="dcterms:W3CDTF">2026-09-08T09:33:17Z</dcterms:modified>
</cp:coreProperties>
</file>